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8a8bcbb8227c5a0/1.0.2.KD DIEN LUC/2.TTDN 2026/1.BC TTDN 2026/QUAN_LY_TON_THAT_DAILY/DATA_OUTPUT/2026/09/12/"/>
    </mc:Choice>
  </mc:AlternateContent>
  <xr:revisionPtr revIDLastSave="20" documentId="11_17F1B632D3CF7E387D1BB7F24E5ED87656CF1056" xr6:coauthVersionLast="47" xr6:coauthVersionMax="47" xr10:uidLastSave="{1DF4EC45-6BBA-4319-8E42-65E9602780A3}"/>
  <bookViews>
    <workbookView xWindow="-120" yWindow="-120" windowWidth="29040" windowHeight="15720" xr2:uid="{00000000-000D-0000-FFFF-FFFF00000000}"/>
  </bookViews>
  <sheets>
    <sheet name="ChiTiet_DauTram_TBA" sheetId="1" r:id="rId1"/>
  </sheets>
  <definedNames>
    <definedName name="_xlnm._FilterDatabase" localSheetId="0" hidden="1">ChiTiet_DauTram_TBA!$A$1:$J$238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L2" i="1"/>
  <c r="K2" i="1"/>
</calcChain>
</file>

<file path=xl/sharedStrings.xml><?xml version="1.0" encoding="utf-8"?>
<sst xmlns="http://schemas.openxmlformats.org/spreadsheetml/2006/main" count="723" uniqueCount="723">
  <si>
    <t>STT</t>
  </si>
  <si>
    <t>Mã trạm</t>
  </si>
  <si>
    <t>Mã điểm đo</t>
  </si>
  <si>
    <t>Tên trạm/điểm đo</t>
  </si>
  <si>
    <t>Chỉ số trước</t>
  </si>
  <si>
    <t>Chỉ số sau</t>
  </si>
  <si>
    <t>HSN</t>
  </si>
  <si>
    <t>Sản lượng ngày (kWh)</t>
  </si>
  <si>
    <t>Thương phẩm ngày (kWh)</t>
  </si>
  <si>
    <t>Điện năng nhận từ KH sau trạm công cộng (kWh)</t>
  </si>
  <si>
    <t>IC511017</t>
  </si>
  <si>
    <t>PC10II0132495001</t>
  </si>
  <si>
    <t>TBA Làng PleiTe (II9).</t>
  </si>
  <si>
    <t>IC511018</t>
  </si>
  <si>
    <t>PC10II0132494001</t>
  </si>
  <si>
    <t>TBA UB xã IaPhí (II8).</t>
  </si>
  <si>
    <t>IC511019</t>
  </si>
  <si>
    <t>PC10II000279001</t>
  </si>
  <si>
    <t>TBA Làng PleiKép (IF1).</t>
  </si>
  <si>
    <t>IC511021</t>
  </si>
  <si>
    <t>PC10II0132152001</t>
  </si>
  <si>
    <t>TBA Làng Bốc Grut (II6).</t>
  </si>
  <si>
    <t>IC511034</t>
  </si>
  <si>
    <t>PC10II0132147001</t>
  </si>
  <si>
    <t>TBA Làng Rơ Vai (II5).</t>
  </si>
  <si>
    <t>IC511044</t>
  </si>
  <si>
    <t>PC10II0132224001</t>
  </si>
  <si>
    <t>TBA L. Kon Sơ Lăng (IXT)</t>
  </si>
  <si>
    <t>IC511050</t>
  </si>
  <si>
    <t>PC10II0132131001</t>
  </si>
  <si>
    <t>TBA Làng Bối (IF3)</t>
  </si>
  <si>
    <t>IC511051</t>
  </si>
  <si>
    <t>PC10II0132129001</t>
  </si>
  <si>
    <t>TBA Làng HReng (IF2)</t>
  </si>
  <si>
    <t>IC511054</t>
  </si>
  <si>
    <t>PC10II0132205001</t>
  </si>
  <si>
    <t>Làng Tơ Ver 2(IXN)</t>
  </si>
  <si>
    <t>IC511055</t>
  </si>
  <si>
    <t>PC10II0132213001</t>
  </si>
  <si>
    <t>TBA Làng Tuêck (IXO)</t>
  </si>
  <si>
    <t>IC511056</t>
  </si>
  <si>
    <t>PC10II0132220001</t>
  </si>
  <si>
    <t>TBA Làng Mo Cũ (IXP).</t>
  </si>
  <si>
    <t>IC511057</t>
  </si>
  <si>
    <t>PC10II0132216001</t>
  </si>
  <si>
    <t>TBA Làng Mo Mới  (IXQ).</t>
  </si>
  <si>
    <t>IC511058</t>
  </si>
  <si>
    <t>PC10II0132218001</t>
  </si>
  <si>
    <t>TBA Làng Om (IXR)</t>
  </si>
  <si>
    <t>IC511064</t>
  </si>
  <si>
    <t>PC10II000259001</t>
  </si>
  <si>
    <t>TBA Làng Rồi (IX8)</t>
  </si>
  <si>
    <t>IC511066</t>
  </si>
  <si>
    <t>PC10II0132498001</t>
  </si>
  <si>
    <t>TBA Làng Roih (IXW)</t>
  </si>
  <si>
    <t>IC511067</t>
  </si>
  <si>
    <t>PC10II0132502001</t>
  </si>
  <si>
    <t>TBA Làng Yang 1&amp;2 (IXV).</t>
  </si>
  <si>
    <t>IC511068</t>
  </si>
  <si>
    <t>PC10II000254001</t>
  </si>
  <si>
    <t>TBA Làng Yang 3 (IXZ).</t>
  </si>
  <si>
    <t>IC511079</t>
  </si>
  <si>
    <t>PC10II0132195001</t>
  </si>
  <si>
    <t>TBA Tơ Vơn 2 (IAC).</t>
  </si>
  <si>
    <t>IC511083</t>
  </si>
  <si>
    <t>PC10II0132199001</t>
  </si>
  <si>
    <t>TBA Làng KLên (I88).</t>
  </si>
  <si>
    <t>IC511084</t>
  </si>
  <si>
    <t>PC10II0132170001</t>
  </si>
  <si>
    <t>TBA L. Kách Mới (I89).</t>
  </si>
  <si>
    <t>IC511098</t>
  </si>
  <si>
    <t>PC10II0132227001</t>
  </si>
  <si>
    <t>TBA Làng Kon Sơ Bai (IAE)</t>
  </si>
  <si>
    <t>IC511099</t>
  </si>
  <si>
    <t>PC10II0132230001</t>
  </si>
  <si>
    <t>TBA Làng Kon Sơ lăh (IAD)</t>
  </si>
  <si>
    <t>IC511107</t>
  </si>
  <si>
    <t>PC10II0133159001</t>
  </si>
  <si>
    <t>TBA Làng HDe (IYY)</t>
  </si>
  <si>
    <t>IC511109</t>
  </si>
  <si>
    <t>PC10II000274001</t>
  </si>
  <si>
    <t>TBA Làng Yang 2 (IAZ)</t>
  </si>
  <si>
    <t>IC511111</t>
  </si>
  <si>
    <t>PC10II0132551001</t>
  </si>
  <si>
    <t>TBA Làng Te 1 (IAW)</t>
  </si>
  <si>
    <t>IC511116</t>
  </si>
  <si>
    <t>PC10II0132807001</t>
  </si>
  <si>
    <t>TBA Làng O (IOR)</t>
  </si>
  <si>
    <t>IC511117</t>
  </si>
  <si>
    <t>PC10II000282001</t>
  </si>
  <si>
    <t>TBA Làng Óp (IOP)</t>
  </si>
  <si>
    <t>IC511118</t>
  </si>
  <si>
    <t>PC10II000281001</t>
  </si>
  <si>
    <t>TBA Làng Lút (IOQ)</t>
  </si>
  <si>
    <t>IC511119</t>
  </si>
  <si>
    <t>PC10II000272001</t>
  </si>
  <si>
    <t>TBA Làng Lút-Kép (IOO)</t>
  </si>
  <si>
    <t>IC511131</t>
  </si>
  <si>
    <t>PC10II000253001</t>
  </si>
  <si>
    <t>TBA Làng Kép 1(IOL)</t>
  </si>
  <si>
    <t>IC511173</t>
  </si>
  <si>
    <t>PC10IIT000015001</t>
  </si>
  <si>
    <t>TBA  Làng Yar (IYO)</t>
  </si>
  <si>
    <t>IC511174</t>
  </si>
  <si>
    <t>PC10IIT000014001</t>
  </si>
  <si>
    <t>TBA KQH Làng Yar (IYP)</t>
  </si>
  <si>
    <t>IC511175</t>
  </si>
  <si>
    <t>PC10II000245001</t>
  </si>
  <si>
    <t>TBA Làng Xóa (IYS)</t>
  </si>
  <si>
    <t>IC511176</t>
  </si>
  <si>
    <t>PC10IIT000010001</t>
  </si>
  <si>
    <t>TBA  Làng Kó (IYT)</t>
  </si>
  <si>
    <t>IC511178</t>
  </si>
  <si>
    <t>PC10IIT000024001</t>
  </si>
  <si>
    <t>TBA Làng Kó 2 (IYV)</t>
  </si>
  <si>
    <t>IC511238</t>
  </si>
  <si>
    <t>PC10IIT000090001</t>
  </si>
  <si>
    <t>TBA Cầu Làng Yang 3 (I14)</t>
  </si>
  <si>
    <t>IC511282</t>
  </si>
  <si>
    <t>PC10IIT000210001</t>
  </si>
  <si>
    <t>Làng Yang 1 (I42)</t>
  </si>
  <si>
    <t>IC511295</t>
  </si>
  <si>
    <t>PC10II000229001</t>
  </si>
  <si>
    <t>Cầu Làng Yang 3 Số 2 (I54)</t>
  </si>
  <si>
    <t>IC511297</t>
  </si>
  <si>
    <t>PC10II000235001</t>
  </si>
  <si>
    <t>Kon Sơ Lăng 1 (I55)</t>
  </si>
  <si>
    <t>IC511303</t>
  </si>
  <si>
    <t>PC10II000242001</t>
  </si>
  <si>
    <t>Ngã 3 Làng Yang(I61)</t>
  </si>
  <si>
    <t>IC511316</t>
  </si>
  <si>
    <t>PC10II000260001</t>
  </si>
  <si>
    <t>Làng Kép 2 (I72)</t>
  </si>
  <si>
    <t>IC511317</t>
  </si>
  <si>
    <t>PC10II000263001</t>
  </si>
  <si>
    <t>Làng Or số 2 (I76)</t>
  </si>
  <si>
    <t>IC511318</t>
  </si>
  <si>
    <t>PC10II000264001</t>
  </si>
  <si>
    <t>Làng Rồi số 2 (I73)</t>
  </si>
  <si>
    <t>IC511365</t>
  </si>
  <si>
    <t>PC10II000296001</t>
  </si>
  <si>
    <t>TBA LÀNG LÚT 2 ( IAF)</t>
  </si>
  <si>
    <t>IC511366</t>
  </si>
  <si>
    <t>PC10II000297001</t>
  </si>
  <si>
    <t>TBA LÀNG MO CŨ SỐ 2 (IGL)</t>
  </si>
  <si>
    <t>IC511367</t>
  </si>
  <si>
    <t>PC10II000298001</t>
  </si>
  <si>
    <t>TBA Làng Kon Sơ Lăh 2 (IYJ)</t>
  </si>
  <si>
    <t>IC531001</t>
  </si>
  <si>
    <t>PC10II0132125001</t>
  </si>
  <si>
    <t>TBA Nghĩa Hòa (IF8)</t>
  </si>
  <si>
    <t>IC531004</t>
  </si>
  <si>
    <t>PC10II0132109001</t>
  </si>
  <si>
    <t>TBA TT Phú Hòa 2(IXK)</t>
  </si>
  <si>
    <t>IC531009</t>
  </si>
  <si>
    <t>PC10II0132136001</t>
  </si>
  <si>
    <t>TBA NM Chè (I83)</t>
  </si>
  <si>
    <t>IC531012</t>
  </si>
  <si>
    <t>PC10II0132121001</t>
  </si>
  <si>
    <t>TBA TT Phú Hòa 1 (IXH).</t>
  </si>
  <si>
    <t>IC531013</t>
  </si>
  <si>
    <t>PC10II0132226001</t>
  </si>
  <si>
    <t>TBA Hòa Phú (IF7+IAL).</t>
  </si>
  <si>
    <t>IC531014</t>
  </si>
  <si>
    <t>PC10II0132144001</t>
  </si>
  <si>
    <t>TBA IaKhươl (II4).</t>
  </si>
  <si>
    <t>IC531015</t>
  </si>
  <si>
    <t>PC10II0132128001</t>
  </si>
  <si>
    <t>TBA Thôn 4 Hòa Phú (IF4)</t>
  </si>
  <si>
    <t>IC531026</t>
  </si>
  <si>
    <t>PC10II0132479001</t>
  </si>
  <si>
    <t>TBA IaKa (IXC).</t>
  </si>
  <si>
    <t>IC531029</t>
  </si>
  <si>
    <t>PC10II0132127001</t>
  </si>
  <si>
    <t>TBA T2 Hòa Phú (IF6).</t>
  </si>
  <si>
    <t>IC531030</t>
  </si>
  <si>
    <t>PC10II0136537001</t>
  </si>
  <si>
    <t>TBA Đội 7 Xí Nghiệp chè (IYL)</t>
  </si>
  <si>
    <t>IC531032</t>
  </si>
  <si>
    <t>PC10II0132476001</t>
  </si>
  <si>
    <t>TBA Làng Kênh (IXE)</t>
  </si>
  <si>
    <t>IC531033</t>
  </si>
  <si>
    <t>PC10II0132475001</t>
  </si>
  <si>
    <t>TBA Làng Jút (IXF).</t>
  </si>
  <si>
    <t>IC531035</t>
  </si>
  <si>
    <t>PC10II0132191001</t>
  </si>
  <si>
    <t>TBA Tân Lập (II7)</t>
  </si>
  <si>
    <t>IC531042</t>
  </si>
  <si>
    <t>PC10IIT000175001</t>
  </si>
  <si>
    <t>TBA Bơm Chư Păh ((I22)</t>
  </si>
  <si>
    <t>IC531045</t>
  </si>
  <si>
    <t>PC10II0132223001</t>
  </si>
  <si>
    <t>TBA Xã Hà Tây (IXG)</t>
  </si>
  <si>
    <t>IC531046</t>
  </si>
  <si>
    <t>PC10II0132122001</t>
  </si>
  <si>
    <t>TBA Sông Đà 3 (IXI+IXJ).</t>
  </si>
  <si>
    <t>IC531053</t>
  </si>
  <si>
    <t>PC10II0132211001</t>
  </si>
  <si>
    <t>TBA UB xã ĐăkTơVer (IXM).</t>
  </si>
  <si>
    <t>IC531059</t>
  </si>
  <si>
    <t>PC10II0132487001</t>
  </si>
  <si>
    <t>TBA Iamơnông 2 (IX5+IX7).</t>
  </si>
  <si>
    <t>IC531060</t>
  </si>
  <si>
    <t>PC10II0132485001</t>
  </si>
  <si>
    <t>TBA Làng AL (IX4).</t>
  </si>
  <si>
    <t>IC531061</t>
  </si>
  <si>
    <t>PC10II0132486001</t>
  </si>
  <si>
    <t>TBA Làng BLoi (IX2).</t>
  </si>
  <si>
    <t>IC531063</t>
  </si>
  <si>
    <t>PC10II0132489001</t>
  </si>
  <si>
    <t>TBA Iamơnông 1 (IX6)</t>
  </si>
  <si>
    <t>IC531065</t>
  </si>
  <si>
    <t>PC10II0132506001</t>
  </si>
  <si>
    <t>TBA Làng PRét (IX9)</t>
  </si>
  <si>
    <t>IC531069</t>
  </si>
  <si>
    <t>PC10II0132468001</t>
  </si>
  <si>
    <t>Bệnh Viện YaLy (I91+IX3)</t>
  </si>
  <si>
    <t>IC531070</t>
  </si>
  <si>
    <t>PC10II0132470001</t>
  </si>
  <si>
    <t>TBA Sông Đà 11-2 (I92).</t>
  </si>
  <si>
    <t>IC531071</t>
  </si>
  <si>
    <t>PC10II0132472001</t>
  </si>
  <si>
    <t>TBA Cải Tạo 2 (I93).</t>
  </si>
  <si>
    <t>IC531072</t>
  </si>
  <si>
    <t>PC10II0132471001</t>
  </si>
  <si>
    <t>TBA Cải Tạo 1 (I94).</t>
  </si>
  <si>
    <t>IC531073</t>
  </si>
  <si>
    <t>PC10II0132469001</t>
  </si>
  <si>
    <t>TBA Bưu Điện YaLy (I95).</t>
  </si>
  <si>
    <t>IC531074</t>
  </si>
  <si>
    <t>PC10II0132473001</t>
  </si>
  <si>
    <t>TBA Dự án Khu A (I96)</t>
  </si>
  <si>
    <t>IC531075</t>
  </si>
  <si>
    <t>PC10II0132474001</t>
  </si>
  <si>
    <t>TBA Dự án Khu B (I97).</t>
  </si>
  <si>
    <t>IC531076</t>
  </si>
  <si>
    <t>PC10II0132215001</t>
  </si>
  <si>
    <t>TBA Cụm xã Đ.T.Ve (IXU).</t>
  </si>
  <si>
    <t>IC531077</t>
  </si>
  <si>
    <t>PC10II0132141001</t>
  </si>
  <si>
    <t>TBA Làng ALũ N. Hưng (I81).</t>
  </si>
  <si>
    <t>IC531078</t>
  </si>
  <si>
    <t>PC10II0132134001</t>
  </si>
  <si>
    <t>TBA Làng Nhiên (I82).</t>
  </si>
  <si>
    <t>IC531080</t>
  </si>
  <si>
    <t>PC10II0132140001</t>
  </si>
  <si>
    <t>TBA Thôn 1 Nghĩa Hưng (I86).</t>
  </si>
  <si>
    <t>IC531081</t>
  </si>
  <si>
    <t>PC10II0132492001</t>
  </si>
  <si>
    <t>TBA T2 Nghĩa Hưng (I84)</t>
  </si>
  <si>
    <t>IC531082</t>
  </si>
  <si>
    <t>PC10II0132164001</t>
  </si>
  <si>
    <t>TBA Làng Grút (I87).</t>
  </si>
  <si>
    <t>IC531085</t>
  </si>
  <si>
    <t>PC10II0132167001</t>
  </si>
  <si>
    <t>TBA Làng Kách Cũ  (I90).</t>
  </si>
  <si>
    <t>IC531086</t>
  </si>
  <si>
    <t>PC10II0132175001</t>
  </si>
  <si>
    <t>TBA Làng BRách (I98).</t>
  </si>
  <si>
    <t>IC531087</t>
  </si>
  <si>
    <t>PC10II0132142001</t>
  </si>
  <si>
    <t>TBA L. Đại An 2 (I99)</t>
  </si>
  <si>
    <t>IC531088</t>
  </si>
  <si>
    <t>PC10II0132133001</t>
  </si>
  <si>
    <t>TBA Nghĩa Hưng 2 (I80).</t>
  </si>
  <si>
    <t>IC531092</t>
  </si>
  <si>
    <t>PC10II0132126001</t>
  </si>
  <si>
    <t>TBA T3 Hòa Phú (IF5).</t>
  </si>
  <si>
    <t>IC531101</t>
  </si>
  <si>
    <t>PC10II0132135001</t>
  </si>
  <si>
    <t>TBA Nghĩa Hưng 1 (IAG)</t>
  </si>
  <si>
    <t>IC531102</t>
  </si>
  <si>
    <t>PC10II0132480001</t>
  </si>
  <si>
    <t>TBA Làng Bàng (IAH)</t>
  </si>
  <si>
    <t>IC531106</t>
  </si>
  <si>
    <t>PC10II0132231001</t>
  </si>
  <si>
    <t>TBA T6 Nghĩa Hoà (IAM)</t>
  </si>
  <si>
    <t>IC531112</t>
  </si>
  <si>
    <t>PC10II0132649001</t>
  </si>
  <si>
    <t>TBA Khu TT Sê San (IYA)</t>
  </si>
  <si>
    <t>IC531114</t>
  </si>
  <si>
    <t>PC10II0132863001</t>
  </si>
  <si>
    <t>TBA CS Chư Păh (IAS)</t>
  </si>
  <si>
    <t>IC531120</t>
  </si>
  <si>
    <t>PC10II0132866001</t>
  </si>
  <si>
    <t>TBA BTS IaNhin (ION)</t>
  </si>
  <si>
    <t>IC531121</t>
  </si>
  <si>
    <t>PC10II0132864001</t>
  </si>
  <si>
    <t>TBA Ngã 3 Sê San(IOM)</t>
  </si>
  <si>
    <t>IC531122</t>
  </si>
  <si>
    <t>PC10II0132936001</t>
  </si>
  <si>
    <t>TBA Thôn 2 TT Phú Hoà (IOH)</t>
  </si>
  <si>
    <t>IC531125</t>
  </si>
  <si>
    <t>PC10II0132987001</t>
  </si>
  <si>
    <t>TBA T4 TT Phú Hoà (IOA)</t>
  </si>
  <si>
    <t>IC531146</t>
  </si>
  <si>
    <t>PC10II0134146001</t>
  </si>
  <si>
    <t>TBA T8 Nghĩa Hưng (IOG)</t>
  </si>
  <si>
    <t>IC531148</t>
  </si>
  <si>
    <t>PC10II0134526001</t>
  </si>
  <si>
    <t>TBA Tơ Vơn (IOZ)</t>
  </si>
  <si>
    <t>IC531150</t>
  </si>
  <si>
    <t>PC10II0134627001</t>
  </si>
  <si>
    <t>TBA Thôn IaLôk (IAX)</t>
  </si>
  <si>
    <t>IC531151</t>
  </si>
  <si>
    <t>PC10II0134731001</t>
  </si>
  <si>
    <t>TBA Thôn IaSir (IYB )</t>
  </si>
  <si>
    <t>IC531152</t>
  </si>
  <si>
    <t>PC10II0135131001</t>
  </si>
  <si>
    <t>TBA Thôn IaSik (IYC)</t>
  </si>
  <si>
    <t>IC531156</t>
  </si>
  <si>
    <t>PC10II0136218001</t>
  </si>
  <si>
    <t>Làng Juăng (IAT+IYD)</t>
  </si>
  <si>
    <t>IC531157</t>
  </si>
  <si>
    <t>PC10II0136224001</t>
  </si>
  <si>
    <t>TBA Làng BLui IaKa (IYE)</t>
  </si>
  <si>
    <t>IC531158</t>
  </si>
  <si>
    <t>PC10II0136222001</t>
  </si>
  <si>
    <t>TBA Làng Ngó 3 (IYF)</t>
  </si>
  <si>
    <t>IC531159</t>
  </si>
  <si>
    <t>PC10II0136223001</t>
  </si>
  <si>
    <t>TBA Làng Mrông Yố (IYG)</t>
  </si>
  <si>
    <t>IC531160</t>
  </si>
  <si>
    <t>PC10II0136219001</t>
  </si>
  <si>
    <t>TBA Làng BLuk BLui (IYI)</t>
  </si>
  <si>
    <t>IC531162</t>
  </si>
  <si>
    <t>PC10II0136344001</t>
  </si>
  <si>
    <t>TBA TT Phú Hòa 3 (IYK)</t>
  </si>
  <si>
    <t>IC531179</t>
  </si>
  <si>
    <t>PC10IIT000007001</t>
  </si>
  <si>
    <t>TBA UB Chư Đăng Yar (IYX)</t>
  </si>
  <si>
    <t>IC531180</t>
  </si>
  <si>
    <t>PC10IIT000006001</t>
  </si>
  <si>
    <t>TBA UB Chư Jôr (IYQ)</t>
  </si>
  <si>
    <t>IC531184</t>
  </si>
  <si>
    <t>PC10IIT000017001</t>
  </si>
  <si>
    <t>TBA làng Fung (IX1)</t>
  </si>
  <si>
    <t>IC531185</t>
  </si>
  <si>
    <t>PC10IIT000021001</t>
  </si>
  <si>
    <t>TBA Thôn IaSir 1 (IYW)</t>
  </si>
  <si>
    <t>IC531187</t>
  </si>
  <si>
    <t>PC10IIT000018001</t>
  </si>
  <si>
    <t>TBA Làng Ngó 4 (IAI)</t>
  </si>
  <si>
    <t>IC531204</t>
  </si>
  <si>
    <t>PC10IIT000067001</t>
  </si>
  <si>
    <t>TBA Thôn IaSik 1 (IB1)</t>
  </si>
  <si>
    <t>IC531208</t>
  </si>
  <si>
    <t>PC10IIT000069001</t>
  </si>
  <si>
    <t>TBA Làng Kó 1 (IB3)</t>
  </si>
  <si>
    <t>IC531209</t>
  </si>
  <si>
    <t>PC10IIT000071001</t>
  </si>
  <si>
    <t>TBA Ngô Sơn (IB4)</t>
  </si>
  <si>
    <t>IC531210</t>
  </si>
  <si>
    <t>PC10IIT000079001</t>
  </si>
  <si>
    <t>TBA Làng Yar 2 (IB5)</t>
  </si>
  <si>
    <t>IC531212</t>
  </si>
  <si>
    <t>PC10IIT000072001</t>
  </si>
  <si>
    <t>TBA Mrông Yố 2 (IB6)</t>
  </si>
  <si>
    <t>IC531215</t>
  </si>
  <si>
    <t>PC10IIT000073001</t>
  </si>
  <si>
    <t>TBA L.Kênh Chóp (IB7)</t>
  </si>
  <si>
    <t>IC531219</t>
  </si>
  <si>
    <t>PC10IIT000078001</t>
  </si>
  <si>
    <t>TBA Klên 1 (IB9)</t>
  </si>
  <si>
    <t>IC531220</t>
  </si>
  <si>
    <t>PC10IIT000075001</t>
  </si>
  <si>
    <t>TBA T6 Nghĩa Hòa 1 (IE1)</t>
  </si>
  <si>
    <t>IC531221</t>
  </si>
  <si>
    <t>PC10IIT000074001</t>
  </si>
  <si>
    <t>TBA T7 Nghĩa Hòa (IAQ)</t>
  </si>
  <si>
    <t>IC531222</t>
  </si>
  <si>
    <t>PC10IIT000076001</t>
  </si>
  <si>
    <t>TBA Đội 2 XN Chè (IE2)</t>
  </si>
  <si>
    <t>IC531223</t>
  </si>
  <si>
    <t>PC10IIT000084001</t>
  </si>
  <si>
    <t>TBA Thôn 3 Lô 2 Hòa Phú (IE4&amp;IE5)</t>
  </si>
  <si>
    <t>IC531224</t>
  </si>
  <si>
    <t>PC10IIT000083001</t>
  </si>
  <si>
    <t>TBA Ngã 3 Ia Phí (IE6)</t>
  </si>
  <si>
    <t>IC531227</t>
  </si>
  <si>
    <t>PC10IIT000086001</t>
  </si>
  <si>
    <t>TBA Làng Hreng 2 (IE7)</t>
  </si>
  <si>
    <t>IC531228</t>
  </si>
  <si>
    <t>PC10II0000147001</t>
  </si>
  <si>
    <t>TBA Số 5 NT 706 (I05)</t>
  </si>
  <si>
    <t>IC531229</t>
  </si>
  <si>
    <t>PC10II0000150001</t>
  </si>
  <si>
    <t>TBA Số 6 NT 706 (I06)</t>
  </si>
  <si>
    <t>IC531230</t>
  </si>
  <si>
    <t>PC10II0000149001</t>
  </si>
  <si>
    <t>TBA Số 4 NT 706 (I04)</t>
  </si>
  <si>
    <t>IC531231</t>
  </si>
  <si>
    <t>PC10II0000154001</t>
  </si>
  <si>
    <t>TBA Số 9 NT 706 (I09)</t>
  </si>
  <si>
    <t>IC531233</t>
  </si>
  <si>
    <t>PC10II0000152001</t>
  </si>
  <si>
    <t>TBA Số 11 NT 706 (I11)</t>
  </si>
  <si>
    <t>IC531234</t>
  </si>
  <si>
    <t>PC10II0000151001</t>
  </si>
  <si>
    <t>TBA Số 7 NT 706 (I07)</t>
  </si>
  <si>
    <t>IC531235</t>
  </si>
  <si>
    <t>PC10II0000153001</t>
  </si>
  <si>
    <t>TBA Số 10 NT 706 (I10)</t>
  </si>
  <si>
    <t>IC531236</t>
  </si>
  <si>
    <t>PC10IIT000088001</t>
  </si>
  <si>
    <t>TBA Làng Mrông Ngó 4 (I12+I15)</t>
  </si>
  <si>
    <t>IC531237</t>
  </si>
  <si>
    <t>PC10IIT000089001</t>
  </si>
  <si>
    <t>TBA T1 Vườn Mít (I13)</t>
  </si>
  <si>
    <t>IC531247</t>
  </si>
  <si>
    <t>PC10IIT000161001</t>
  </si>
  <si>
    <t>TBA Thôn Ry Ninh (I16)</t>
  </si>
  <si>
    <t>IC531248</t>
  </si>
  <si>
    <t>PC10IIT000162001</t>
  </si>
  <si>
    <t>TBA Làng AMơng (IXS)</t>
  </si>
  <si>
    <t>IC531249</t>
  </si>
  <si>
    <t>PC10IIT000165001</t>
  </si>
  <si>
    <t>TBA Thôn 4-Hòa Phú 1 (I17)</t>
  </si>
  <si>
    <t>IC531250</t>
  </si>
  <si>
    <t>PC10IIT000169001</t>
  </si>
  <si>
    <t>TBA Làng Bui 2_Iaka (I19)</t>
  </si>
  <si>
    <t>IC531251</t>
  </si>
  <si>
    <t>PC10IIT000170001</t>
  </si>
  <si>
    <t>TBA Làng Ju Răng 2 (I20)</t>
  </si>
  <si>
    <t>IC531253</t>
  </si>
  <si>
    <t>PC10IIT000172001</t>
  </si>
  <si>
    <t>TBA Ia Sik 2 (I18)</t>
  </si>
  <si>
    <t>IC531255</t>
  </si>
  <si>
    <t>PC10IIT000177001</t>
  </si>
  <si>
    <t>TBA Quang Trung (I23)</t>
  </si>
  <si>
    <t>IC531258</t>
  </si>
  <si>
    <t>PC10IIT000180001</t>
  </si>
  <si>
    <t>TBA Thôn 2 Nghĩa Hòa (I24 +IAA)</t>
  </si>
  <si>
    <t>IC531259</t>
  </si>
  <si>
    <t>PC10IIT000182001</t>
  </si>
  <si>
    <t>TBA Thôn 9 Nghĩa Hưng (I25)</t>
  </si>
  <si>
    <t>IC531260</t>
  </si>
  <si>
    <t>PC10IIT000185001</t>
  </si>
  <si>
    <t>Làng Bàng 1_XBT</t>
  </si>
  <si>
    <t>IC531265</t>
  </si>
  <si>
    <t>PC10IIT000192001</t>
  </si>
  <si>
    <t>TBA Làng Vân (I29)</t>
  </si>
  <si>
    <t>IC531266</t>
  </si>
  <si>
    <t>PC10IIT000193001</t>
  </si>
  <si>
    <t>TBA 3P Làng Bối 1 (I28)</t>
  </si>
  <si>
    <t>IC531267</t>
  </si>
  <si>
    <t>PC10IIT000194001</t>
  </si>
  <si>
    <t>Thôn 2 Ia Nhin (I30)</t>
  </si>
  <si>
    <t>IC531268</t>
  </si>
  <si>
    <t>PC10IIT000196001</t>
  </si>
  <si>
    <t>Thôn 3 Nghĩa Hòa (I31)</t>
  </si>
  <si>
    <t>IC531271</t>
  </si>
  <si>
    <t>PC10IIT000201001</t>
  </si>
  <si>
    <t>TBA Trường tiểu học Ianhin (I33)</t>
  </si>
  <si>
    <t>IC531272</t>
  </si>
  <si>
    <t>PC10IIT000200001</t>
  </si>
  <si>
    <t>TBA Làng Krái (I34)</t>
  </si>
  <si>
    <t>IC531273</t>
  </si>
  <si>
    <t>PC10IIT000198001</t>
  </si>
  <si>
    <t>TBA KQH Chợ Nghĩa Hưng (I35)</t>
  </si>
  <si>
    <t>IC531274</t>
  </si>
  <si>
    <t>PC10IIT000197001</t>
  </si>
  <si>
    <t>TBA Thôn 3 Nghĩa Hưng (I36)</t>
  </si>
  <si>
    <t>IC531276</t>
  </si>
  <si>
    <t>PC10IIT000205001</t>
  </si>
  <si>
    <t>TBA Chư Jôr 1 (I37)</t>
  </si>
  <si>
    <t>IC531277</t>
  </si>
  <si>
    <t>PC10IIT000206001</t>
  </si>
  <si>
    <t>TBA Đội 4 CS Ianhin (I38)</t>
  </si>
  <si>
    <t>IC531279</t>
  </si>
  <si>
    <t>PC10IIT000208001</t>
  </si>
  <si>
    <t>L. Phung 1 (I40)</t>
  </si>
  <si>
    <t>IC531280</t>
  </si>
  <si>
    <t>PC10IIT000209001</t>
  </si>
  <si>
    <t>Thôn 5 Ia Nhin (I41)</t>
  </si>
  <si>
    <t>IC531284</t>
  </si>
  <si>
    <t>PC10II000218001</t>
  </si>
  <si>
    <t>Làng AL 1 (I44)</t>
  </si>
  <si>
    <t>IC531285</t>
  </si>
  <si>
    <t>PC10II000220001</t>
  </si>
  <si>
    <t>Làng Bloi 1(I45)</t>
  </si>
  <si>
    <t>IC531286</t>
  </si>
  <si>
    <t>PC10II000221001</t>
  </si>
  <si>
    <t>Làng Roih 1 (I46)</t>
  </si>
  <si>
    <t>IC531287</t>
  </si>
  <si>
    <t>PC10II000219001</t>
  </si>
  <si>
    <t>Thôn 5 Nghĩa Hòa 1 (I47)</t>
  </si>
  <si>
    <t>IC531289</t>
  </si>
  <si>
    <t>PC10II000222001</t>
  </si>
  <si>
    <t>Làng Bui Xóm Núi (I48)</t>
  </si>
  <si>
    <t>IC531290</t>
  </si>
  <si>
    <t>PC10II000223001</t>
  </si>
  <si>
    <t>Làng Prét 1 (I49)</t>
  </si>
  <si>
    <t>IC531291</t>
  </si>
  <si>
    <t>PC10II000227001</t>
  </si>
  <si>
    <t>Thôn Đoàn Kết (I50)</t>
  </si>
  <si>
    <t>IC531292</t>
  </si>
  <si>
    <t>PC10II000228001</t>
  </si>
  <si>
    <t>Thôn 7 Ia Nhin (I51)</t>
  </si>
  <si>
    <t>IC531293</t>
  </si>
  <si>
    <t>PC10II000224001</t>
  </si>
  <si>
    <t>L.Bluk Blui 2 (I52)</t>
  </si>
  <si>
    <t>IC531294</t>
  </si>
  <si>
    <t>PC10II000225001</t>
  </si>
  <si>
    <t>L.Mrông Ngó 3 (I53)</t>
  </si>
  <si>
    <t>IC531299</t>
  </si>
  <si>
    <t>PC10II000239001</t>
  </si>
  <si>
    <t>Làng Mông Yố 1 (I57)</t>
  </si>
  <si>
    <t>IC531300</t>
  </si>
  <si>
    <t>PC10II000240001</t>
  </si>
  <si>
    <t>Thôn 1 Ia Nhin (I58)</t>
  </si>
  <si>
    <t>IC531301</t>
  </si>
  <si>
    <t>PC10II000238001</t>
  </si>
  <si>
    <t>Làng Gri (I59)_3Pha</t>
  </si>
  <si>
    <t>IC531302</t>
  </si>
  <si>
    <t>PC10II000241001</t>
  </si>
  <si>
    <t>Thôn 5 Nghĩa Hưng (I60)</t>
  </si>
  <si>
    <t>IC531306</t>
  </si>
  <si>
    <t>PC10II000246001</t>
  </si>
  <si>
    <t>TBA Phan Đình Phùng 1 (I62)</t>
  </si>
  <si>
    <t>IC531307</t>
  </si>
  <si>
    <t>PC10II000255001</t>
  </si>
  <si>
    <t>Ngã Ba Trà Huỳnh (I85)</t>
  </si>
  <si>
    <t>IC531308</t>
  </si>
  <si>
    <t>PC10II000247001</t>
  </si>
  <si>
    <t>Nhà Thờ Nghĩa Hưng (I63)</t>
  </si>
  <si>
    <t>IC531309</t>
  </si>
  <si>
    <t>PC10II000248001</t>
  </si>
  <si>
    <t>Thôn 4 Nghĩa Hưng (I64)</t>
  </si>
  <si>
    <t>IC531310</t>
  </si>
  <si>
    <t>PC10II000249001</t>
  </si>
  <si>
    <t>Làng Vân 2 (I65)</t>
  </si>
  <si>
    <t>IC531311</t>
  </si>
  <si>
    <t>PC10II000250001</t>
  </si>
  <si>
    <t>A Mơng 2 (I66)</t>
  </si>
  <si>
    <t>IC531312</t>
  </si>
  <si>
    <t>PC10II000251001</t>
  </si>
  <si>
    <t>A Mơng 3 (I67)</t>
  </si>
  <si>
    <t>IC531313</t>
  </si>
  <si>
    <t>PC10II000252001</t>
  </si>
  <si>
    <t>Thôn 6 Nghĩa Hòa 2 (I68)</t>
  </si>
  <si>
    <t>IC531314</t>
  </si>
  <si>
    <t>PC10II000256001</t>
  </si>
  <si>
    <t>Thôn 3 TT Phú Hòa (I69)</t>
  </si>
  <si>
    <t>IC531315</t>
  </si>
  <si>
    <t>PC10II000257001</t>
  </si>
  <si>
    <t>Thôn 2 Hòa Phú 1 (I70)</t>
  </si>
  <si>
    <t>IC531316</t>
  </si>
  <si>
    <t>PC10II000258001</t>
  </si>
  <si>
    <t>Thôn 8 Nghĩa Hưng Số 2 (I71)</t>
  </si>
  <si>
    <t>IC531319</t>
  </si>
  <si>
    <t>PC10II000261001</t>
  </si>
  <si>
    <t>Thôn Ry Ninh số 2 (I74)</t>
  </si>
  <si>
    <t>IC531320</t>
  </si>
  <si>
    <t>PC10II000262001</t>
  </si>
  <si>
    <t>Mrông Ngó 4 số 2 (I75)</t>
  </si>
  <si>
    <t>IC531321</t>
  </si>
  <si>
    <t>PC10II000268001</t>
  </si>
  <si>
    <t>Thôn 4, Hòa Phú Số 2 (I77)</t>
  </si>
  <si>
    <t>IC531323</t>
  </si>
  <si>
    <t>PC10II000270001</t>
  </si>
  <si>
    <t>Hùng Vương (IBA)</t>
  </si>
  <si>
    <t>IC531324</t>
  </si>
  <si>
    <t>PC10II000271001</t>
  </si>
  <si>
    <t>Anh Hùng Núp (IBB)</t>
  </si>
  <si>
    <t>IC531342</t>
  </si>
  <si>
    <t>PC10II000273001</t>
  </si>
  <si>
    <t>Mrông Yố 3 (IBC)</t>
  </si>
  <si>
    <t>IC531343</t>
  </si>
  <si>
    <t>PC10II000275001</t>
  </si>
  <si>
    <t>Đội 10 NT 706 (IBD)</t>
  </si>
  <si>
    <t>IC531344</t>
  </si>
  <si>
    <t>PC10II000276001</t>
  </si>
  <si>
    <t>Đội 11 NT 706 (IBE)</t>
  </si>
  <si>
    <t>IC531346</t>
  </si>
  <si>
    <t>PC10II000278001</t>
  </si>
  <si>
    <t>Mrông Ngó 5 (IBG)</t>
  </si>
  <si>
    <t>IC531347</t>
  </si>
  <si>
    <t>PC10II000283001</t>
  </si>
  <si>
    <t>TBA Làng Bốc Grút 2 (IGR)</t>
  </si>
  <si>
    <t>IC531348</t>
  </si>
  <si>
    <t>PC10II000285001</t>
  </si>
  <si>
    <t>TBA Làng Nhiên số 2(IGN)</t>
  </si>
  <si>
    <t>IC531349</t>
  </si>
  <si>
    <t>PC10II0134256001</t>
  </si>
  <si>
    <t>TBA Thôn 7 Nghĩa Hưng(IOX)</t>
  </si>
  <si>
    <t>IC531350</t>
  </si>
  <si>
    <t>PC10II000287001</t>
  </si>
  <si>
    <t>TBA Hà Tây 2(IGG)</t>
  </si>
  <si>
    <t>IC531351</t>
  </si>
  <si>
    <t>PC10II000284001</t>
  </si>
  <si>
    <t>TBA Thôn 2 Hòa Phú số 2(IG7)</t>
  </si>
  <si>
    <t>IC531352</t>
  </si>
  <si>
    <t>PC10II000286001</t>
  </si>
  <si>
    <t>TBA Làng Yố 2- Ia Ka(IY2)</t>
  </si>
  <si>
    <t>IC531355</t>
  </si>
  <si>
    <t>PC10II000288001</t>
  </si>
  <si>
    <t>TBA Thôn 1 Vườn Mít Số 2 (IKA)</t>
  </si>
  <si>
    <t>IC531356</t>
  </si>
  <si>
    <t>PC10II000290001</t>
  </si>
  <si>
    <t>TBA Thôn 6 Nghĩa Hưng (IOY)</t>
  </si>
  <si>
    <t>IC531357</t>
  </si>
  <si>
    <t>PC10II000289001</t>
  </si>
  <si>
    <t>TBA Làng Roih  2 (IWR)</t>
  </si>
  <si>
    <t>IC531358</t>
  </si>
  <si>
    <t>PC10II000291001</t>
  </si>
  <si>
    <t>TBA Trường Chinh- Ia Ly ( IOW)</t>
  </si>
  <si>
    <t>IC531360</t>
  </si>
  <si>
    <t>PC10II000292001</t>
  </si>
  <si>
    <t>TBA Thôn 2 Xã Ia Ka (IK2).</t>
  </si>
  <si>
    <t>IC531361</t>
  </si>
  <si>
    <t>PC10II000293001</t>
  </si>
  <si>
    <t>TBA Làng Xóa số 3(IBY)</t>
  </si>
  <si>
    <t>IC531362</t>
  </si>
  <si>
    <t>PC10II000294001</t>
  </si>
  <si>
    <t>TBA Làng Kon Sơ Lăng 2 (IB8)</t>
  </si>
  <si>
    <t>IC531363</t>
  </si>
  <si>
    <t>PC10II000295001</t>
  </si>
  <si>
    <t>TBA Làng Tuêck 2 (IAB)</t>
  </si>
  <si>
    <t>IC531364</t>
  </si>
  <si>
    <t>PC10II000299001</t>
  </si>
  <si>
    <t>TBA Làng Te số 2 (IAO)</t>
  </si>
  <si>
    <t>IC531365</t>
  </si>
  <si>
    <t>PC10II000301001</t>
  </si>
  <si>
    <t>TBA Làng Hreng 3(IXY)</t>
  </si>
  <si>
    <t>IC531366</t>
  </si>
  <si>
    <t>PC10II000308001</t>
  </si>
  <si>
    <t>TBA Làng Xóa số 2 ( IZ5)</t>
  </si>
  <si>
    <t>IC531367</t>
  </si>
  <si>
    <t>PC10II000302001</t>
  </si>
  <si>
    <t>TBA Làng Yăh (IYN)</t>
  </si>
  <si>
    <t>IC531368</t>
  </si>
  <si>
    <t>PC10II000303001</t>
  </si>
  <si>
    <t>TBA Thôn 5 Ia Nhin số 2(IYM)</t>
  </si>
  <si>
    <t>IC531373</t>
  </si>
  <si>
    <t>PC10II000304001</t>
  </si>
  <si>
    <t>TBA Làng Kép Số 3 (IZ1)</t>
  </si>
  <si>
    <t>IC531374</t>
  </si>
  <si>
    <t>PC10II000305001</t>
  </si>
  <si>
    <t>TBA Nguyễn Thị Minh Khai (IZ2 )</t>
  </si>
  <si>
    <t>IC631024</t>
  </si>
  <si>
    <t>PC10II0132477001</t>
  </si>
  <si>
    <t>TBA IaNhin1 (IXB)</t>
  </si>
  <si>
    <t>IC631025</t>
  </si>
  <si>
    <t>PC10II0132478001</t>
  </si>
  <si>
    <t>TBA Ia Boong (IXA)</t>
  </si>
  <si>
    <t>IC631091</t>
  </si>
  <si>
    <t>PC10II0132484001</t>
  </si>
  <si>
    <t>TBA Làng Bằng Lăng (II3).</t>
  </si>
  <si>
    <t>IC631093</t>
  </si>
  <si>
    <t>PC10II0132120001</t>
  </si>
  <si>
    <t>TBA Làng Kênh N. Hòa (IF9)</t>
  </si>
  <si>
    <t>IC631094</t>
  </si>
  <si>
    <t>PC10II0132482001</t>
  </si>
  <si>
    <t>TBA Làng Dốc 1 (IF0).</t>
  </si>
  <si>
    <t>IC631095</t>
  </si>
  <si>
    <t>PC10II0132483001</t>
  </si>
  <si>
    <t>TBA Làng Dốc 2 (II0)</t>
  </si>
  <si>
    <t>IC631096</t>
  </si>
  <si>
    <t>PC10II0132507001</t>
  </si>
  <si>
    <t>TBA Thôn 5 Nghĩa Hòa (IYZ)</t>
  </si>
  <si>
    <t>IC631103</t>
  </si>
  <si>
    <t>PC10II0132481001</t>
  </si>
  <si>
    <t>TBA IaNhin 2 (IAN)</t>
  </si>
  <si>
    <t>IC631139</t>
  </si>
  <si>
    <t>PC10II0133570001</t>
  </si>
  <si>
    <t>TBA T10 N. Hưng (IOT)</t>
  </si>
  <si>
    <t>IC631141</t>
  </si>
  <si>
    <t>PC10II0133822001</t>
  </si>
  <si>
    <t>TBA Làng KLung (I21)</t>
  </si>
  <si>
    <t>IC631144</t>
  </si>
  <si>
    <t>PC10II0133821001</t>
  </si>
  <si>
    <t>Làng Bui Mới (IOS)</t>
  </si>
  <si>
    <t>IC631149</t>
  </si>
  <si>
    <t>PC10II0134528001</t>
  </si>
  <si>
    <t>TBA Thôn 3 IaNhin (IAY)</t>
  </si>
  <si>
    <t>IC631154</t>
  </si>
  <si>
    <t>PC10II0136345001</t>
  </si>
  <si>
    <t>TBA Làng Bui N. Hưng (II2)</t>
  </si>
  <si>
    <t>IC631202</t>
  </si>
  <si>
    <t>PC10IIT000065001</t>
  </si>
  <si>
    <t>TBA Thôn 10 Nghĩa Hưng 1 (IOJ)</t>
  </si>
  <si>
    <t>IC631203</t>
  </si>
  <si>
    <t>PC10IIT000066001</t>
  </si>
  <si>
    <t>TBA Làng Klung 1 (IOU)</t>
  </si>
  <si>
    <t>IC631205</t>
  </si>
  <si>
    <t>PC10IIT000068001</t>
  </si>
  <si>
    <t>TBA Thôn 3 Ia Nhin 1 (IB2)</t>
  </si>
  <si>
    <t>IC631218</t>
  </si>
  <si>
    <t>PC10IIT000080001</t>
  </si>
  <si>
    <t>TBA Làng Brông (IE3)</t>
  </si>
  <si>
    <t>IC631226</t>
  </si>
  <si>
    <t>PC10IIT000085001</t>
  </si>
  <si>
    <t>TBA IaKreng (IE8)</t>
  </si>
  <si>
    <t>IC631261</t>
  </si>
  <si>
    <t>PC10IIT000187001</t>
  </si>
  <si>
    <t>TBA Ông Miến (I27)</t>
  </si>
  <si>
    <t>IC631270</t>
  </si>
  <si>
    <t>PC10IIT000195001</t>
  </si>
  <si>
    <t>TBA Phan Đình Phùng (I32)</t>
  </si>
  <si>
    <t>IC631278</t>
  </si>
  <si>
    <t>PC10IIT000207001</t>
  </si>
  <si>
    <t>TBA L.Kênh Chóp 1 (I39)</t>
  </si>
  <si>
    <t>IC631283</t>
  </si>
  <si>
    <t>PC10IIT000213001</t>
  </si>
  <si>
    <t>Thôn 3 IaNhin 2 (I43)</t>
  </si>
  <si>
    <t>IC631298</t>
  </si>
  <si>
    <t>PC10II000237001</t>
  </si>
  <si>
    <t>Làng Mun (I56)</t>
  </si>
  <si>
    <t>IC631322</t>
  </si>
  <si>
    <t>PC10II000269001</t>
  </si>
  <si>
    <t>Làng Dip (I78)</t>
  </si>
  <si>
    <t>IC631345</t>
  </si>
  <si>
    <t>PC10II000277001</t>
  </si>
  <si>
    <t>Làng Kép Ia Mơ Nông (IBF)</t>
  </si>
  <si>
    <t>IC631375</t>
  </si>
  <si>
    <t>PC10II000306001</t>
  </si>
  <si>
    <t>TBA Ia Lôk 2 (IZ3)</t>
  </si>
  <si>
    <t>IC631376</t>
  </si>
  <si>
    <t>PC10II000307001</t>
  </si>
  <si>
    <t>TBA Làng Kép 2 Ia Mơ Nông (IZ4)</t>
  </si>
  <si>
    <t>Điện TT theo trạm (kWh)</t>
  </si>
  <si>
    <t>Tỉ lệ TT theo trạm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</si>
</sst>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name val="Times New Roman"/>
    </font>
    <font>
      <b/>
      <sz val="11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5A9C"/>
        <bgColor rgb="FF005A9C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wrapText="1"/>
    </xf>
    <xf numFmtId="2" fontId="3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8"/>
  <sheetViews>
    <sheetView tabSelected="1" workbookViewId="0">
      <selection activeCell="L1" sqref="L1"/>
    </sheetView>
  </sheetViews>
  <sheetFormatPr defaultRowHeight="15" x14ac:dyDescent="0.25"/>
  <cols>
    <col min="1" max="1" width="6.5703125" customWidth="1"/>
    <col min="2" max="2" width="12" customWidth="1"/>
    <col min="3" max="3" width="19" customWidth="1"/>
    <col min="4" max="4" width="23.140625" customWidth="1"/>
    <col min="5" max="5" width="15" customWidth="1"/>
    <col min="6" max="6" width="14" customWidth="1"/>
    <col min="7" max="7" width="12" customWidth="1"/>
    <col min="8" max="8" width="23" customWidth="1"/>
    <col min="9" max="9" width="25" customWidth="1"/>
    <col min="10" max="10" width="27.28515625" customWidth="1"/>
    <col min="11" max="11" width="15.85546875" customWidth="1"/>
  </cols>
  <sheetData>
    <row r="1" spans="1:12" s="5" customFormat="1" ht="5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721</v>
      </c>
      <c r="L1" s="6" t="s">
        <v>722</v>
      </c>
    </row>
    <row r="2" spans="1:12" x14ac:dyDescent="0.25">
      <c r="A2" s="1">
        <v>1</v>
      </c>
      <c r="B2" s="2" t="s">
        <v>10</v>
      </c>
      <c r="C2" s="2" t="s">
        <v>11</v>
      </c>
      <c r="D2" s="2" t="s">
        <v>12</v>
      </c>
      <c r="E2" s="3">
        <v>4933.0397999999996</v>
      </c>
      <c r="F2" s="3">
        <v>4936.9085999999998</v>
      </c>
      <c r="G2" s="3">
        <v>30</v>
      </c>
      <c r="H2" s="3">
        <v>116.06</v>
      </c>
      <c r="I2" s="3">
        <v>112.94</v>
      </c>
      <c r="J2" s="3">
        <v>0</v>
      </c>
      <c r="K2" s="7">
        <f>(H2+J2)-I2</f>
        <v>3.1200000000000045</v>
      </c>
      <c r="L2" s="8">
        <f>K2/(H2+J2)</f>
        <v>2.6882646906772396E-2</v>
      </c>
    </row>
    <row r="3" spans="1:12" x14ac:dyDescent="0.25">
      <c r="A3" s="1">
        <v>2</v>
      </c>
      <c r="B3" s="2" t="s">
        <v>13</v>
      </c>
      <c r="C3" s="2" t="s">
        <v>14</v>
      </c>
      <c r="D3" s="2" t="s">
        <v>15</v>
      </c>
      <c r="E3" s="3">
        <v>12151.8912</v>
      </c>
      <c r="F3" s="3">
        <v>12167.8776</v>
      </c>
      <c r="G3" s="3">
        <v>50</v>
      </c>
      <c r="H3" s="3">
        <v>799.32</v>
      </c>
      <c r="I3" s="3">
        <v>767.69</v>
      </c>
      <c r="J3" s="3">
        <v>0</v>
      </c>
      <c r="K3" s="7">
        <f t="shared" ref="K3:K66" si="0">(H3+J3)-I3</f>
        <v>31.629999999999995</v>
      </c>
      <c r="L3" s="8">
        <f t="shared" ref="L3:L66" si="1">K3/(H3+J3)</f>
        <v>3.9571135465145367E-2</v>
      </c>
    </row>
    <row r="4" spans="1:12" x14ac:dyDescent="0.25">
      <c r="A4" s="1">
        <v>3</v>
      </c>
      <c r="B4" s="2" t="s">
        <v>16</v>
      </c>
      <c r="C4" s="2" t="s">
        <v>17</v>
      </c>
      <c r="D4" s="2" t="s">
        <v>18</v>
      </c>
      <c r="E4" s="3">
        <v>6189.0424000000003</v>
      </c>
      <c r="F4" s="3">
        <v>6189.7846</v>
      </c>
      <c r="G4" s="3">
        <v>30</v>
      </c>
      <c r="H4" s="3">
        <v>22.27</v>
      </c>
      <c r="I4" s="3">
        <v>38.56</v>
      </c>
      <c r="J4" s="3">
        <v>0</v>
      </c>
      <c r="K4" s="7">
        <f t="shared" si="0"/>
        <v>-16.290000000000003</v>
      </c>
      <c r="L4" s="8">
        <f t="shared" si="1"/>
        <v>-0.73147732375392915</v>
      </c>
    </row>
    <row r="5" spans="1:12" x14ac:dyDescent="0.25">
      <c r="A5" s="1">
        <v>4</v>
      </c>
      <c r="B5" s="2" t="s">
        <v>19</v>
      </c>
      <c r="C5" s="2" t="s">
        <v>20</v>
      </c>
      <c r="D5" s="2" t="s">
        <v>21</v>
      </c>
      <c r="E5" s="3">
        <v>19315.21</v>
      </c>
      <c r="F5" s="3">
        <v>19319.91</v>
      </c>
      <c r="G5" s="3">
        <v>40</v>
      </c>
      <c r="H5" s="3">
        <v>188</v>
      </c>
      <c r="I5" s="3">
        <v>183.61</v>
      </c>
      <c r="J5" s="3">
        <v>0</v>
      </c>
      <c r="K5" s="7">
        <f t="shared" si="0"/>
        <v>4.3899999999999864</v>
      </c>
      <c r="L5" s="8">
        <f t="shared" si="1"/>
        <v>2.3351063829787161E-2</v>
      </c>
    </row>
    <row r="6" spans="1:12" x14ac:dyDescent="0.25">
      <c r="A6" s="1">
        <v>5</v>
      </c>
      <c r="B6" s="2" t="s">
        <v>22</v>
      </c>
      <c r="C6" s="2" t="s">
        <v>23</v>
      </c>
      <c r="D6" s="2" t="s">
        <v>24</v>
      </c>
      <c r="E6" s="3">
        <v>10017.619199999999</v>
      </c>
      <c r="F6" s="3">
        <v>10031.3356</v>
      </c>
      <c r="G6" s="3">
        <v>30</v>
      </c>
      <c r="H6" s="3">
        <v>411.49</v>
      </c>
      <c r="I6" s="3">
        <v>396.44</v>
      </c>
      <c r="J6" s="3">
        <v>0</v>
      </c>
      <c r="K6" s="7">
        <f t="shared" si="0"/>
        <v>15.050000000000011</v>
      </c>
      <c r="L6" s="8">
        <f t="shared" si="1"/>
        <v>3.6574400349947779E-2</v>
      </c>
    </row>
    <row r="7" spans="1:12" x14ac:dyDescent="0.25">
      <c r="A7" s="1">
        <v>6</v>
      </c>
      <c r="B7" s="2" t="s">
        <v>25</v>
      </c>
      <c r="C7" s="2" t="s">
        <v>26</v>
      </c>
      <c r="D7" s="2" t="s">
        <v>27</v>
      </c>
      <c r="E7" s="3">
        <v>6606.5780000000004</v>
      </c>
      <c r="F7" s="3">
        <v>6621.7637999999997</v>
      </c>
      <c r="G7" s="3">
        <v>20</v>
      </c>
      <c r="H7" s="3">
        <v>303.72000000000003</v>
      </c>
      <c r="I7" s="3">
        <v>416.78</v>
      </c>
      <c r="J7" s="3">
        <v>0</v>
      </c>
      <c r="K7" s="7">
        <f t="shared" si="0"/>
        <v>-113.05999999999995</v>
      </c>
      <c r="L7" s="8">
        <f t="shared" si="1"/>
        <v>-0.37225075727643864</v>
      </c>
    </row>
    <row r="8" spans="1:12" x14ac:dyDescent="0.25">
      <c r="A8" s="1">
        <v>7</v>
      </c>
      <c r="B8" s="2" t="s">
        <v>28</v>
      </c>
      <c r="C8" s="2" t="s">
        <v>29</v>
      </c>
      <c r="D8" s="2" t="s">
        <v>30</v>
      </c>
      <c r="E8" s="3">
        <v>12113.308000000001</v>
      </c>
      <c r="F8" s="3">
        <v>12129.8748</v>
      </c>
      <c r="G8" s="3">
        <v>30</v>
      </c>
      <c r="H8" s="3">
        <v>497</v>
      </c>
      <c r="I8" s="3">
        <v>478.36</v>
      </c>
      <c r="J8" s="3">
        <v>0</v>
      </c>
      <c r="K8" s="7">
        <f t="shared" si="0"/>
        <v>18.639999999999986</v>
      </c>
      <c r="L8" s="8">
        <f t="shared" si="1"/>
        <v>3.7505030181086495E-2</v>
      </c>
    </row>
    <row r="9" spans="1:12" x14ac:dyDescent="0.25">
      <c r="A9" s="1">
        <v>8</v>
      </c>
      <c r="B9" s="2" t="s">
        <v>31</v>
      </c>
      <c r="C9" s="2" t="s">
        <v>32</v>
      </c>
      <c r="D9" s="2" t="s">
        <v>33</v>
      </c>
      <c r="E9" s="3">
        <v>4223.0829999999996</v>
      </c>
      <c r="F9" s="3">
        <v>4228.2201999999997</v>
      </c>
      <c r="G9" s="3">
        <v>30</v>
      </c>
      <c r="H9" s="3">
        <v>154.12</v>
      </c>
      <c r="I9" s="3">
        <v>349.48</v>
      </c>
      <c r="J9" s="3">
        <v>0</v>
      </c>
      <c r="K9" s="7">
        <f t="shared" si="0"/>
        <v>-195.36</v>
      </c>
      <c r="L9" s="8">
        <f t="shared" si="1"/>
        <v>-1.2675837010121984</v>
      </c>
    </row>
    <row r="10" spans="1:12" x14ac:dyDescent="0.25">
      <c r="A10" s="1">
        <v>9</v>
      </c>
      <c r="B10" s="2" t="s">
        <v>34</v>
      </c>
      <c r="C10" s="2" t="s">
        <v>35</v>
      </c>
      <c r="D10" s="2" t="s">
        <v>36</v>
      </c>
      <c r="E10" s="3">
        <v>3132.1552000000001</v>
      </c>
      <c r="F10" s="3">
        <v>3141.9839999999999</v>
      </c>
      <c r="G10" s="3">
        <v>30</v>
      </c>
      <c r="H10" s="3">
        <v>294.86</v>
      </c>
      <c r="I10" s="3">
        <v>345.54</v>
      </c>
      <c r="J10" s="3">
        <v>0</v>
      </c>
      <c r="K10" s="7">
        <f t="shared" si="0"/>
        <v>-50.680000000000007</v>
      </c>
      <c r="L10" s="8">
        <f t="shared" si="1"/>
        <v>-0.17187817947500511</v>
      </c>
    </row>
    <row r="11" spans="1:12" x14ac:dyDescent="0.25">
      <c r="A11" s="1">
        <v>10</v>
      </c>
      <c r="B11" s="2" t="s">
        <v>37</v>
      </c>
      <c r="C11" s="2" t="s">
        <v>38</v>
      </c>
      <c r="D11" s="2" t="s">
        <v>39</v>
      </c>
      <c r="E11" s="3">
        <v>3688.3175999999999</v>
      </c>
      <c r="F11" s="3">
        <v>3693.6197999999999</v>
      </c>
      <c r="G11" s="3">
        <v>20</v>
      </c>
      <c r="H11" s="3">
        <v>106.04</v>
      </c>
      <c r="I11" s="3">
        <v>277.01</v>
      </c>
      <c r="J11" s="3">
        <v>0</v>
      </c>
      <c r="K11" s="7">
        <f t="shared" si="0"/>
        <v>-170.96999999999997</v>
      </c>
      <c r="L11" s="8">
        <f t="shared" si="1"/>
        <v>-1.6123161071293848</v>
      </c>
    </row>
    <row r="12" spans="1:12" x14ac:dyDescent="0.25">
      <c r="A12" s="1">
        <v>11</v>
      </c>
      <c r="B12" s="2" t="s">
        <v>40</v>
      </c>
      <c r="C12" s="2" t="s">
        <v>41</v>
      </c>
      <c r="D12" s="2" t="s">
        <v>42</v>
      </c>
      <c r="E12" s="3">
        <v>5594.8720000000003</v>
      </c>
      <c r="F12" s="3">
        <v>5603.0164000000004</v>
      </c>
      <c r="G12" s="3">
        <v>15</v>
      </c>
      <c r="H12" s="3">
        <v>122.17</v>
      </c>
      <c r="I12" s="3">
        <v>310</v>
      </c>
      <c r="J12" s="3">
        <v>0</v>
      </c>
      <c r="K12" s="7">
        <f t="shared" si="0"/>
        <v>-187.82999999999998</v>
      </c>
      <c r="L12" s="8">
        <f t="shared" si="1"/>
        <v>-1.5374478186134073</v>
      </c>
    </row>
    <row r="13" spans="1:12" x14ac:dyDescent="0.25">
      <c r="A13" s="1">
        <v>12</v>
      </c>
      <c r="B13" s="2" t="s">
        <v>43</v>
      </c>
      <c r="C13" s="2" t="s">
        <v>44</v>
      </c>
      <c r="D13" s="2" t="s">
        <v>45</v>
      </c>
      <c r="E13" s="3">
        <v>11068.448200000001</v>
      </c>
      <c r="F13" s="3">
        <v>11087.989</v>
      </c>
      <c r="G13" s="3">
        <v>20</v>
      </c>
      <c r="H13" s="3">
        <v>390.82</v>
      </c>
      <c r="I13" s="3">
        <v>468.3</v>
      </c>
      <c r="J13" s="3">
        <v>0</v>
      </c>
      <c r="K13" s="7">
        <f t="shared" si="0"/>
        <v>-77.480000000000018</v>
      </c>
      <c r="L13" s="8">
        <f t="shared" si="1"/>
        <v>-0.19824983368302548</v>
      </c>
    </row>
    <row r="14" spans="1:12" x14ac:dyDescent="0.25">
      <c r="A14" s="1">
        <v>13</v>
      </c>
      <c r="B14" s="2" t="s">
        <v>46</v>
      </c>
      <c r="C14" s="2" t="s">
        <v>47</v>
      </c>
      <c r="D14" s="2" t="s">
        <v>48</v>
      </c>
      <c r="E14" s="3">
        <v>15452.5458</v>
      </c>
      <c r="F14" s="3">
        <v>15460.560299999999</v>
      </c>
      <c r="G14" s="3">
        <v>30</v>
      </c>
      <c r="H14" s="3">
        <v>240.43</v>
      </c>
      <c r="I14" s="3">
        <v>231.2</v>
      </c>
      <c r="J14" s="3">
        <v>0</v>
      </c>
      <c r="K14" s="7">
        <f t="shared" si="0"/>
        <v>9.2300000000000182</v>
      </c>
      <c r="L14" s="8">
        <f t="shared" si="1"/>
        <v>3.8389552052572551E-2</v>
      </c>
    </row>
    <row r="15" spans="1:12" x14ac:dyDescent="0.25">
      <c r="A15" s="1">
        <v>14</v>
      </c>
      <c r="B15" s="2" t="s">
        <v>49</v>
      </c>
      <c r="C15" s="2" t="s">
        <v>50</v>
      </c>
      <c r="D15" s="2" t="s">
        <v>51</v>
      </c>
      <c r="E15" s="3">
        <v>3257.3274000000001</v>
      </c>
      <c r="F15" s="3">
        <v>3263.0929999999998</v>
      </c>
      <c r="G15" s="3">
        <v>20</v>
      </c>
      <c r="H15" s="3">
        <v>115.31</v>
      </c>
      <c r="I15" s="3">
        <v>142.96</v>
      </c>
      <c r="J15" s="3">
        <v>0</v>
      </c>
      <c r="K15" s="7">
        <f t="shared" si="0"/>
        <v>-27.650000000000006</v>
      </c>
      <c r="L15" s="8">
        <f t="shared" si="1"/>
        <v>-0.23978839649640105</v>
      </c>
    </row>
    <row r="16" spans="1:12" x14ac:dyDescent="0.25">
      <c r="A16" s="1">
        <v>15</v>
      </c>
      <c r="B16" s="2" t="s">
        <v>52</v>
      </c>
      <c r="C16" s="2" t="s">
        <v>53</v>
      </c>
      <c r="D16" s="2" t="s">
        <v>54</v>
      </c>
      <c r="E16" s="3">
        <v>5878.7175999999999</v>
      </c>
      <c r="F16" s="3">
        <v>5880.7356</v>
      </c>
      <c r="G16" s="3">
        <v>30</v>
      </c>
      <c r="H16" s="3">
        <v>60.54</v>
      </c>
      <c r="I16" s="3">
        <v>131.91</v>
      </c>
      <c r="J16" s="3">
        <v>0</v>
      </c>
      <c r="K16" s="7">
        <f t="shared" si="0"/>
        <v>-71.37</v>
      </c>
      <c r="L16" s="8">
        <f t="shared" si="1"/>
        <v>-1.1788899900891974</v>
      </c>
    </row>
    <row r="17" spans="1:12" x14ac:dyDescent="0.25">
      <c r="A17" s="1">
        <v>16</v>
      </c>
      <c r="B17" s="2" t="s">
        <v>55</v>
      </c>
      <c r="C17" s="2" t="s">
        <v>56</v>
      </c>
      <c r="D17" s="2" t="s">
        <v>57</v>
      </c>
      <c r="E17" s="3">
        <v>7150.9943999999996</v>
      </c>
      <c r="F17" s="3">
        <v>7157.9386000000004</v>
      </c>
      <c r="G17" s="3">
        <v>50</v>
      </c>
      <c r="H17" s="3">
        <v>347.21</v>
      </c>
      <c r="I17" s="3">
        <v>339.09</v>
      </c>
      <c r="J17" s="3">
        <v>0</v>
      </c>
      <c r="K17" s="7">
        <f t="shared" si="0"/>
        <v>8.1200000000000045</v>
      </c>
      <c r="L17" s="8">
        <f t="shared" si="1"/>
        <v>2.3386423202096728E-2</v>
      </c>
    </row>
    <row r="18" spans="1:12" x14ac:dyDescent="0.25">
      <c r="A18" s="1">
        <v>17</v>
      </c>
      <c r="B18" s="2" t="s">
        <v>58</v>
      </c>
      <c r="C18" s="2" t="s">
        <v>59</v>
      </c>
      <c r="D18" s="2" t="s">
        <v>60</v>
      </c>
      <c r="E18" s="3">
        <v>4629.5649999999996</v>
      </c>
      <c r="F18" s="3">
        <v>4635.4928</v>
      </c>
      <c r="G18" s="3">
        <v>50</v>
      </c>
      <c r="H18" s="3">
        <v>296.39</v>
      </c>
      <c r="I18" s="3">
        <v>277.36</v>
      </c>
      <c r="J18" s="3">
        <v>0</v>
      </c>
      <c r="K18" s="7">
        <f t="shared" si="0"/>
        <v>19.029999999999973</v>
      </c>
      <c r="L18" s="8">
        <f t="shared" si="1"/>
        <v>6.4205944869934792E-2</v>
      </c>
    </row>
    <row r="19" spans="1:12" x14ac:dyDescent="0.25">
      <c r="A19" s="1">
        <v>18</v>
      </c>
      <c r="B19" s="2" t="s">
        <v>61</v>
      </c>
      <c r="C19" s="2" t="s">
        <v>62</v>
      </c>
      <c r="D19" s="2" t="s">
        <v>63</v>
      </c>
      <c r="E19" s="3">
        <v>10837.346600000001</v>
      </c>
      <c r="F19" s="3">
        <v>10846.145200000001</v>
      </c>
      <c r="G19" s="3">
        <v>15</v>
      </c>
      <c r="H19" s="3">
        <v>131.97999999999999</v>
      </c>
      <c r="I19" s="3">
        <v>126.4</v>
      </c>
      <c r="J19" s="3">
        <v>0</v>
      </c>
      <c r="K19" s="7">
        <f t="shared" si="0"/>
        <v>5.5799999999999841</v>
      </c>
      <c r="L19" s="8">
        <f t="shared" si="1"/>
        <v>4.2279133202000184E-2</v>
      </c>
    </row>
    <row r="20" spans="1:12" x14ac:dyDescent="0.25">
      <c r="A20" s="1">
        <v>19</v>
      </c>
      <c r="B20" s="2" t="s">
        <v>64</v>
      </c>
      <c r="C20" s="2" t="s">
        <v>65</v>
      </c>
      <c r="D20" s="2" t="s">
        <v>66</v>
      </c>
      <c r="E20" s="3">
        <v>10314.450000000001</v>
      </c>
      <c r="F20" s="3">
        <v>10321.290000000001</v>
      </c>
      <c r="G20" s="3">
        <v>15</v>
      </c>
      <c r="H20" s="3">
        <v>102.6</v>
      </c>
      <c r="I20" s="3">
        <v>351.13</v>
      </c>
      <c r="J20" s="3">
        <v>0</v>
      </c>
      <c r="K20" s="7">
        <f t="shared" si="0"/>
        <v>-248.53</v>
      </c>
      <c r="L20" s="8">
        <f t="shared" si="1"/>
        <v>-2.422319688109162</v>
      </c>
    </row>
    <row r="21" spans="1:12" x14ac:dyDescent="0.25">
      <c r="A21" s="1">
        <v>20</v>
      </c>
      <c r="B21" s="2" t="s">
        <v>67</v>
      </c>
      <c r="C21" s="2" t="s">
        <v>68</v>
      </c>
      <c r="D21" s="2" t="s">
        <v>69</v>
      </c>
      <c r="E21" s="3">
        <v>469.73739999999998</v>
      </c>
      <c r="F21" s="3">
        <v>475.6866</v>
      </c>
      <c r="G21" s="3">
        <v>15</v>
      </c>
      <c r="H21" s="3">
        <v>89.24</v>
      </c>
      <c r="I21" s="3">
        <v>87.05</v>
      </c>
      <c r="J21" s="3">
        <v>0</v>
      </c>
      <c r="K21" s="7">
        <f t="shared" si="0"/>
        <v>2.1899999999999977</v>
      </c>
      <c r="L21" s="8">
        <f t="shared" si="1"/>
        <v>2.4540564769161787E-2</v>
      </c>
    </row>
    <row r="22" spans="1:12" x14ac:dyDescent="0.25">
      <c r="A22" s="1">
        <v>21</v>
      </c>
      <c r="B22" s="2" t="s">
        <v>70</v>
      </c>
      <c r="C22" s="2" t="s">
        <v>71</v>
      </c>
      <c r="D22" s="2" t="s">
        <v>72</v>
      </c>
      <c r="E22" s="3">
        <v>3793.7105999999999</v>
      </c>
      <c r="F22" s="3">
        <v>3801.5837999999999</v>
      </c>
      <c r="G22" s="3">
        <v>15</v>
      </c>
      <c r="H22" s="3">
        <v>118.1</v>
      </c>
      <c r="I22" s="3">
        <v>255.56</v>
      </c>
      <c r="J22" s="3">
        <v>0</v>
      </c>
      <c r="K22" s="7">
        <f t="shared" si="0"/>
        <v>-137.46</v>
      </c>
      <c r="L22" s="8">
        <f t="shared" si="1"/>
        <v>-1.1639288738357325</v>
      </c>
    </row>
    <row r="23" spans="1:12" x14ac:dyDescent="0.25">
      <c r="A23" s="1">
        <v>22</v>
      </c>
      <c r="B23" s="2" t="s">
        <v>73</v>
      </c>
      <c r="C23" s="2" t="s">
        <v>74</v>
      </c>
      <c r="D23" s="2" t="s">
        <v>75</v>
      </c>
      <c r="E23" s="3">
        <v>14175.5288</v>
      </c>
      <c r="F23" s="3">
        <v>14200.142400000001</v>
      </c>
      <c r="G23" s="3">
        <v>15</v>
      </c>
      <c r="H23" s="3">
        <v>369.2</v>
      </c>
      <c r="I23" s="3">
        <v>355.84</v>
      </c>
      <c r="J23" s="3">
        <v>0</v>
      </c>
      <c r="K23" s="7">
        <f t="shared" si="0"/>
        <v>13.360000000000014</v>
      </c>
      <c r="L23" s="8">
        <f t="shared" si="1"/>
        <v>3.6186348862405238E-2</v>
      </c>
    </row>
    <row r="24" spans="1:12" x14ac:dyDescent="0.25">
      <c r="A24" s="1">
        <v>23</v>
      </c>
      <c r="B24" s="2" t="s">
        <v>76</v>
      </c>
      <c r="C24" s="2" t="s">
        <v>77</v>
      </c>
      <c r="D24" s="2" t="s">
        <v>78</v>
      </c>
      <c r="E24" s="3">
        <v>762.58</v>
      </c>
      <c r="F24" s="3">
        <v>773.83219999999994</v>
      </c>
      <c r="G24" s="3">
        <v>15</v>
      </c>
      <c r="H24" s="3">
        <v>168.78</v>
      </c>
      <c r="I24" s="3">
        <v>160.44999999999999</v>
      </c>
      <c r="J24" s="3">
        <v>0</v>
      </c>
      <c r="K24" s="7">
        <f t="shared" si="0"/>
        <v>8.3300000000000125</v>
      </c>
      <c r="L24" s="8">
        <f t="shared" si="1"/>
        <v>4.9354188884939046E-2</v>
      </c>
    </row>
    <row r="25" spans="1:12" x14ac:dyDescent="0.25">
      <c r="A25" s="1">
        <v>24</v>
      </c>
      <c r="B25" s="2" t="s">
        <v>79</v>
      </c>
      <c r="C25" s="2" t="s">
        <v>80</v>
      </c>
      <c r="D25" s="2" t="s">
        <v>81</v>
      </c>
      <c r="E25" s="3">
        <v>1845.4775999999999</v>
      </c>
      <c r="F25" s="3">
        <v>1845.6869999999999</v>
      </c>
      <c r="G25" s="3">
        <v>20</v>
      </c>
      <c r="H25" s="3">
        <v>4.1900000000000004</v>
      </c>
      <c r="I25" s="3">
        <v>18.05</v>
      </c>
      <c r="J25" s="3">
        <v>0</v>
      </c>
      <c r="K25" s="7">
        <f t="shared" si="0"/>
        <v>-13.86</v>
      </c>
      <c r="L25" s="8">
        <f t="shared" si="1"/>
        <v>-3.3078758949880664</v>
      </c>
    </row>
    <row r="26" spans="1:12" x14ac:dyDescent="0.25">
      <c r="A26" s="1">
        <v>25</v>
      </c>
      <c r="B26" s="2" t="s">
        <v>82</v>
      </c>
      <c r="C26" s="2" t="s">
        <v>83</v>
      </c>
      <c r="D26" s="2" t="s">
        <v>84</v>
      </c>
      <c r="E26" s="3">
        <v>1263.6284000000001</v>
      </c>
      <c r="F26" s="3">
        <v>1265.5996</v>
      </c>
      <c r="G26" s="3">
        <v>40</v>
      </c>
      <c r="H26" s="3">
        <v>78.849999999999994</v>
      </c>
      <c r="I26" s="3">
        <v>75.819999999999993</v>
      </c>
      <c r="J26" s="3">
        <v>0</v>
      </c>
      <c r="K26" s="7">
        <f t="shared" si="0"/>
        <v>3.0300000000000011</v>
      </c>
      <c r="L26" s="8">
        <f t="shared" si="1"/>
        <v>3.8427393785669006E-2</v>
      </c>
    </row>
    <row r="27" spans="1:12" x14ac:dyDescent="0.25">
      <c r="A27" s="1">
        <v>26</v>
      </c>
      <c r="B27" s="2" t="s">
        <v>85</v>
      </c>
      <c r="C27" s="2" t="s">
        <v>86</v>
      </c>
      <c r="D27" s="2" t="s">
        <v>87</v>
      </c>
      <c r="E27" s="3">
        <v>448304.07799999998</v>
      </c>
      <c r="F27" s="3">
        <v>448443.47399999999</v>
      </c>
      <c r="G27" s="3">
        <v>1</v>
      </c>
      <c r="H27" s="3">
        <v>139.4</v>
      </c>
      <c r="I27" s="3">
        <v>135.52000000000001</v>
      </c>
      <c r="J27" s="3">
        <v>0</v>
      </c>
      <c r="K27" s="7">
        <f t="shared" si="0"/>
        <v>3.8799999999999955</v>
      </c>
      <c r="L27" s="8">
        <f t="shared" si="1"/>
        <v>2.783357245337156E-2</v>
      </c>
    </row>
    <row r="28" spans="1:12" x14ac:dyDescent="0.25">
      <c r="A28" s="1">
        <v>27</v>
      </c>
      <c r="B28" s="2" t="s">
        <v>88</v>
      </c>
      <c r="C28" s="2" t="s">
        <v>89</v>
      </c>
      <c r="D28" s="2" t="s">
        <v>90</v>
      </c>
      <c r="E28" s="3">
        <v>1651.1569999999999</v>
      </c>
      <c r="F28" s="3">
        <v>1652.7809999999999</v>
      </c>
      <c r="G28" s="3">
        <v>30</v>
      </c>
      <c r="H28" s="3">
        <v>48.72</v>
      </c>
      <c r="I28" s="3">
        <v>238.4</v>
      </c>
      <c r="J28" s="3">
        <v>0</v>
      </c>
      <c r="K28" s="7">
        <f t="shared" si="0"/>
        <v>-189.68</v>
      </c>
      <c r="L28" s="8">
        <f t="shared" si="1"/>
        <v>-3.8932676518883418</v>
      </c>
    </row>
    <row r="29" spans="1:12" x14ac:dyDescent="0.25">
      <c r="A29" s="1">
        <v>28</v>
      </c>
      <c r="B29" s="2" t="s">
        <v>91</v>
      </c>
      <c r="C29" s="2" t="s">
        <v>92</v>
      </c>
      <c r="D29" s="2" t="s">
        <v>93</v>
      </c>
      <c r="E29" s="3">
        <v>2509.2501999999999</v>
      </c>
      <c r="F29" s="3">
        <v>2511.7919999999999</v>
      </c>
      <c r="G29" s="3">
        <v>30</v>
      </c>
      <c r="H29" s="3">
        <v>76.25</v>
      </c>
      <c r="I29" s="3">
        <v>201.32</v>
      </c>
      <c r="J29" s="3">
        <v>0</v>
      </c>
      <c r="K29" s="7">
        <f t="shared" si="0"/>
        <v>-125.07</v>
      </c>
      <c r="L29" s="8">
        <f t="shared" si="1"/>
        <v>-1.6402622950819672</v>
      </c>
    </row>
    <row r="30" spans="1:12" x14ac:dyDescent="0.25">
      <c r="A30" s="1">
        <v>29</v>
      </c>
      <c r="B30" s="2" t="s">
        <v>94</v>
      </c>
      <c r="C30" s="2" t="s">
        <v>95</v>
      </c>
      <c r="D30" s="2" t="s">
        <v>96</v>
      </c>
      <c r="E30" s="3">
        <v>1830.5554</v>
      </c>
      <c r="F30" s="3">
        <v>1831.1315999999999</v>
      </c>
      <c r="G30" s="3">
        <v>15</v>
      </c>
      <c r="H30" s="3">
        <v>8.64</v>
      </c>
      <c r="I30" s="3">
        <v>25.32</v>
      </c>
      <c r="J30" s="3">
        <v>0</v>
      </c>
      <c r="K30" s="7">
        <f t="shared" si="0"/>
        <v>-16.68</v>
      </c>
      <c r="L30" s="8">
        <f t="shared" si="1"/>
        <v>-1.9305555555555554</v>
      </c>
    </row>
    <row r="31" spans="1:12" x14ac:dyDescent="0.25">
      <c r="A31" s="1">
        <v>30</v>
      </c>
      <c r="B31" s="2" t="s">
        <v>97</v>
      </c>
      <c r="C31" s="2" t="s">
        <v>98</v>
      </c>
      <c r="D31" s="2" t="s">
        <v>99</v>
      </c>
      <c r="E31" s="3">
        <v>4187.7327999999998</v>
      </c>
      <c r="F31" s="3">
        <v>4187.7546000000002</v>
      </c>
      <c r="G31" s="3">
        <v>15</v>
      </c>
      <c r="H31" s="3">
        <v>0.33</v>
      </c>
      <c r="I31" s="3">
        <v>14.49</v>
      </c>
      <c r="J31" s="3">
        <v>0</v>
      </c>
      <c r="K31" s="7">
        <f t="shared" si="0"/>
        <v>-14.16</v>
      </c>
      <c r="L31" s="8">
        <f t="shared" si="1"/>
        <v>-42.909090909090907</v>
      </c>
    </row>
    <row r="32" spans="1:12" x14ac:dyDescent="0.25">
      <c r="A32" s="1">
        <v>31</v>
      </c>
      <c r="B32" s="2" t="s">
        <v>100</v>
      </c>
      <c r="C32" s="2" t="s">
        <v>101</v>
      </c>
      <c r="D32" s="2" t="s">
        <v>102</v>
      </c>
      <c r="E32" s="3">
        <v>769.98800000000006</v>
      </c>
      <c r="F32" s="3">
        <v>772.82560000000001</v>
      </c>
      <c r="G32" s="3">
        <v>30</v>
      </c>
      <c r="H32" s="3">
        <v>85.13</v>
      </c>
      <c r="I32" s="3">
        <v>149.28</v>
      </c>
      <c r="J32" s="3">
        <v>0</v>
      </c>
      <c r="K32" s="7">
        <f t="shared" si="0"/>
        <v>-64.150000000000006</v>
      </c>
      <c r="L32" s="8">
        <f t="shared" si="1"/>
        <v>-0.7535533889345708</v>
      </c>
    </row>
    <row r="33" spans="1:12" x14ac:dyDescent="0.25">
      <c r="A33" s="1">
        <v>32</v>
      </c>
      <c r="B33" s="2" t="s">
        <v>103</v>
      </c>
      <c r="C33" s="2" t="s">
        <v>104</v>
      </c>
      <c r="D33" s="2" t="s">
        <v>105</v>
      </c>
      <c r="E33" s="3">
        <v>3674.9776000000002</v>
      </c>
      <c r="F33" s="3">
        <v>3677.6671999999999</v>
      </c>
      <c r="G33" s="3">
        <v>40</v>
      </c>
      <c r="H33" s="3">
        <v>107.58</v>
      </c>
      <c r="I33" s="3">
        <v>104.88</v>
      </c>
      <c r="J33" s="3">
        <v>0</v>
      </c>
      <c r="K33" s="7">
        <f t="shared" si="0"/>
        <v>2.7000000000000028</v>
      </c>
      <c r="L33" s="8">
        <f t="shared" si="1"/>
        <v>2.5097601784718374E-2</v>
      </c>
    </row>
    <row r="34" spans="1:12" x14ac:dyDescent="0.25">
      <c r="A34" s="1">
        <v>33</v>
      </c>
      <c r="B34" s="2" t="s">
        <v>106</v>
      </c>
      <c r="C34" s="2" t="s">
        <v>107</v>
      </c>
      <c r="D34" s="2" t="s">
        <v>108</v>
      </c>
      <c r="E34" s="3">
        <v>4754.2726000000002</v>
      </c>
      <c r="F34" s="3">
        <v>4759.4404000000004</v>
      </c>
      <c r="G34" s="3">
        <v>30</v>
      </c>
      <c r="H34" s="3">
        <v>155.03</v>
      </c>
      <c r="I34" s="3">
        <v>215.75</v>
      </c>
      <c r="J34" s="3">
        <v>0</v>
      </c>
      <c r="K34" s="7">
        <f t="shared" si="0"/>
        <v>-60.72</v>
      </c>
      <c r="L34" s="8">
        <f t="shared" si="1"/>
        <v>-0.39166612913629617</v>
      </c>
    </row>
    <row r="35" spans="1:12" x14ac:dyDescent="0.25">
      <c r="A35" s="1">
        <v>34</v>
      </c>
      <c r="B35" s="2" t="s">
        <v>109</v>
      </c>
      <c r="C35" s="2" t="s">
        <v>110</v>
      </c>
      <c r="D35" s="2" t="s">
        <v>111</v>
      </c>
      <c r="E35" s="3">
        <v>4281.2592000000004</v>
      </c>
      <c r="F35" s="3">
        <v>4287.0889999999999</v>
      </c>
      <c r="G35" s="3">
        <v>20</v>
      </c>
      <c r="H35" s="3">
        <v>116.6</v>
      </c>
      <c r="I35" s="3">
        <v>392.97</v>
      </c>
      <c r="J35" s="3">
        <v>0</v>
      </c>
      <c r="K35" s="7">
        <f t="shared" si="0"/>
        <v>-276.37</v>
      </c>
      <c r="L35" s="8">
        <f t="shared" si="1"/>
        <v>-2.3702401372212694</v>
      </c>
    </row>
    <row r="36" spans="1:12" x14ac:dyDescent="0.25">
      <c r="A36" s="1">
        <v>35</v>
      </c>
      <c r="B36" s="2" t="s">
        <v>112</v>
      </c>
      <c r="C36" s="2" t="s">
        <v>113</v>
      </c>
      <c r="D36" s="2" t="s">
        <v>114</v>
      </c>
      <c r="E36" s="3">
        <v>17702.322800000002</v>
      </c>
      <c r="F36" s="3">
        <v>17704.937000000002</v>
      </c>
      <c r="G36" s="3">
        <v>40</v>
      </c>
      <c r="H36" s="3">
        <v>104.57</v>
      </c>
      <c r="I36" s="3">
        <v>101.41</v>
      </c>
      <c r="J36" s="3">
        <v>0</v>
      </c>
      <c r="K36" s="7">
        <f t="shared" si="0"/>
        <v>3.1599999999999966</v>
      </c>
      <c r="L36" s="8">
        <f t="shared" si="1"/>
        <v>3.0218992062733065E-2</v>
      </c>
    </row>
    <row r="37" spans="1:12" x14ac:dyDescent="0.25">
      <c r="A37" s="1">
        <v>36</v>
      </c>
      <c r="B37" s="2" t="s">
        <v>115</v>
      </c>
      <c r="C37" s="2" t="s">
        <v>116</v>
      </c>
      <c r="D37" s="2" t="s">
        <v>117</v>
      </c>
      <c r="E37" s="3">
        <v>4696.2767999999996</v>
      </c>
      <c r="F37" s="3">
        <v>4698.4120000000003</v>
      </c>
      <c r="G37" s="3">
        <v>15</v>
      </c>
      <c r="H37" s="3">
        <v>32.03</v>
      </c>
      <c r="I37" s="3">
        <v>58.82</v>
      </c>
      <c r="J37" s="3">
        <v>0</v>
      </c>
      <c r="K37" s="7">
        <f t="shared" si="0"/>
        <v>-26.79</v>
      </c>
      <c r="L37" s="8">
        <f t="shared" si="1"/>
        <v>-0.83640337183890101</v>
      </c>
    </row>
    <row r="38" spans="1:12" x14ac:dyDescent="0.25">
      <c r="A38" s="1">
        <v>37</v>
      </c>
      <c r="B38" s="2" t="s">
        <v>118</v>
      </c>
      <c r="C38" s="2" t="s">
        <v>119</v>
      </c>
      <c r="D38" s="2" t="s">
        <v>120</v>
      </c>
      <c r="E38" s="3">
        <v>3971.5171999999998</v>
      </c>
      <c r="F38" s="3">
        <v>3975.3321999999998</v>
      </c>
      <c r="G38" s="3">
        <v>50</v>
      </c>
      <c r="H38" s="3">
        <v>190.75</v>
      </c>
      <c r="I38" s="3">
        <v>186.07</v>
      </c>
      <c r="J38" s="3">
        <v>0</v>
      </c>
      <c r="K38" s="7">
        <f t="shared" si="0"/>
        <v>4.6800000000000068</v>
      </c>
      <c r="L38" s="8">
        <f t="shared" si="1"/>
        <v>2.4534731323722185E-2</v>
      </c>
    </row>
    <row r="39" spans="1:12" x14ac:dyDescent="0.25">
      <c r="A39" s="1">
        <v>38</v>
      </c>
      <c r="B39" s="2" t="s">
        <v>121</v>
      </c>
      <c r="C39" s="2" t="s">
        <v>122</v>
      </c>
      <c r="D39" s="2" t="s">
        <v>123</v>
      </c>
      <c r="E39" s="3">
        <v>1871.1081999999999</v>
      </c>
      <c r="F39" s="3">
        <v>1872.2392</v>
      </c>
      <c r="G39" s="3">
        <v>30</v>
      </c>
      <c r="H39" s="3">
        <v>33.93</v>
      </c>
      <c r="I39" s="3">
        <v>23.26</v>
      </c>
      <c r="J39" s="3">
        <v>0</v>
      </c>
      <c r="K39" s="7">
        <f t="shared" si="0"/>
        <v>10.669999999999998</v>
      </c>
      <c r="L39" s="8">
        <f t="shared" si="1"/>
        <v>0.31447096964338339</v>
      </c>
    </row>
    <row r="40" spans="1:12" x14ac:dyDescent="0.25">
      <c r="A40" s="1">
        <v>39</v>
      </c>
      <c r="B40" s="2" t="s">
        <v>124</v>
      </c>
      <c r="C40" s="2" t="s">
        <v>125</v>
      </c>
      <c r="D40" s="2" t="s">
        <v>126</v>
      </c>
      <c r="E40" s="3">
        <v>600.78719999999998</v>
      </c>
      <c r="F40" s="3">
        <v>601.64179999999999</v>
      </c>
      <c r="G40" s="3">
        <v>15</v>
      </c>
      <c r="H40" s="3">
        <v>12.82</v>
      </c>
      <c r="I40" s="3">
        <v>34.049999999999997</v>
      </c>
      <c r="J40" s="3">
        <v>0</v>
      </c>
      <c r="K40" s="7">
        <f t="shared" si="0"/>
        <v>-21.229999999999997</v>
      </c>
      <c r="L40" s="8">
        <f t="shared" si="1"/>
        <v>-1.6560062402496096</v>
      </c>
    </row>
    <row r="41" spans="1:12" x14ac:dyDescent="0.25">
      <c r="A41" s="1">
        <v>40</v>
      </c>
      <c r="B41" s="2" t="s">
        <v>127</v>
      </c>
      <c r="C41" s="2" t="s">
        <v>128</v>
      </c>
      <c r="D41" s="2" t="s">
        <v>129</v>
      </c>
      <c r="E41" s="3">
        <v>2909.1743999999999</v>
      </c>
      <c r="F41" s="3">
        <v>2911.2197999999999</v>
      </c>
      <c r="G41" s="3">
        <v>80</v>
      </c>
      <c r="H41" s="3">
        <v>163.63</v>
      </c>
      <c r="I41" s="3">
        <v>156.86000000000001</v>
      </c>
      <c r="J41" s="3">
        <v>0</v>
      </c>
      <c r="K41" s="7">
        <f t="shared" si="0"/>
        <v>6.7699999999999818</v>
      </c>
      <c r="L41" s="8">
        <f t="shared" si="1"/>
        <v>4.1373831204546734E-2</v>
      </c>
    </row>
    <row r="42" spans="1:12" x14ac:dyDescent="0.25">
      <c r="A42" s="1">
        <v>41</v>
      </c>
      <c r="B42" s="2" t="s">
        <v>130</v>
      </c>
      <c r="C42" s="2" t="s">
        <v>131</v>
      </c>
      <c r="D42" s="2" t="s">
        <v>132</v>
      </c>
      <c r="E42" s="3">
        <v>2850.2710000000002</v>
      </c>
      <c r="F42" s="3">
        <v>2852.1867999999999</v>
      </c>
      <c r="G42" s="3">
        <v>50</v>
      </c>
      <c r="H42" s="3">
        <v>95.79</v>
      </c>
      <c r="I42" s="3">
        <v>93.28</v>
      </c>
      <c r="J42" s="3">
        <v>0</v>
      </c>
      <c r="K42" s="7">
        <f t="shared" si="0"/>
        <v>2.5100000000000051</v>
      </c>
      <c r="L42" s="8">
        <f t="shared" si="1"/>
        <v>2.6203152729930106E-2</v>
      </c>
    </row>
    <row r="43" spans="1:12" x14ac:dyDescent="0.25">
      <c r="A43" s="1">
        <v>42</v>
      </c>
      <c r="B43" s="2" t="s">
        <v>133</v>
      </c>
      <c r="C43" s="2" t="s">
        <v>134</v>
      </c>
      <c r="D43" s="2" t="s">
        <v>135</v>
      </c>
      <c r="E43" s="3">
        <v>7398.0810000000001</v>
      </c>
      <c r="F43" s="3">
        <v>7407.1148000000003</v>
      </c>
      <c r="G43" s="3">
        <v>20</v>
      </c>
      <c r="H43" s="3">
        <v>180.68</v>
      </c>
      <c r="I43" s="3">
        <v>174.32</v>
      </c>
      <c r="J43" s="3">
        <v>0</v>
      </c>
      <c r="K43" s="7">
        <f t="shared" si="0"/>
        <v>6.3600000000000136</v>
      </c>
      <c r="L43" s="8">
        <f t="shared" si="1"/>
        <v>3.5200354217401003E-2</v>
      </c>
    </row>
    <row r="44" spans="1:12" x14ac:dyDescent="0.25">
      <c r="A44" s="1">
        <v>43</v>
      </c>
      <c r="B44" s="2" t="s">
        <v>136</v>
      </c>
      <c r="C44" s="2" t="s">
        <v>137</v>
      </c>
      <c r="D44" s="2" t="s">
        <v>138</v>
      </c>
      <c r="E44" s="3">
        <v>12647.967199999999</v>
      </c>
      <c r="F44" s="3">
        <v>12667.887000000001</v>
      </c>
      <c r="G44" s="3">
        <v>20</v>
      </c>
      <c r="H44" s="3">
        <v>398.4</v>
      </c>
      <c r="I44" s="3">
        <v>386.16</v>
      </c>
      <c r="J44" s="3">
        <v>0</v>
      </c>
      <c r="K44" s="7">
        <f t="shared" si="0"/>
        <v>12.239999999999952</v>
      </c>
      <c r="L44" s="8">
        <f t="shared" si="1"/>
        <v>3.0722891566264943E-2</v>
      </c>
    </row>
    <row r="45" spans="1:12" x14ac:dyDescent="0.25">
      <c r="A45" s="1">
        <v>44</v>
      </c>
      <c r="B45" s="2" t="s">
        <v>139</v>
      </c>
      <c r="C45" s="2" t="s">
        <v>140</v>
      </c>
      <c r="D45" s="2" t="s">
        <v>141</v>
      </c>
      <c r="E45" s="3">
        <v>3752.9607999999998</v>
      </c>
      <c r="F45" s="3">
        <v>3756.7186000000002</v>
      </c>
      <c r="G45" s="3">
        <v>20</v>
      </c>
      <c r="H45" s="3">
        <v>75.16</v>
      </c>
      <c r="I45" s="3">
        <v>73.22</v>
      </c>
      <c r="J45" s="3">
        <v>0</v>
      </c>
      <c r="K45" s="7">
        <f t="shared" si="0"/>
        <v>1.9399999999999977</v>
      </c>
      <c r="L45" s="8">
        <f t="shared" si="1"/>
        <v>2.5811601915912689E-2</v>
      </c>
    </row>
    <row r="46" spans="1:12" x14ac:dyDescent="0.25">
      <c r="A46" s="1">
        <v>45</v>
      </c>
      <c r="B46" s="2" t="s">
        <v>142</v>
      </c>
      <c r="C46" s="2" t="s">
        <v>143</v>
      </c>
      <c r="D46" s="2" t="s">
        <v>144</v>
      </c>
      <c r="E46" s="3">
        <v>1979.6754000000001</v>
      </c>
      <c r="F46" s="3">
        <v>1982.8150000000001</v>
      </c>
      <c r="G46" s="3">
        <v>20</v>
      </c>
      <c r="H46" s="3">
        <v>62.79</v>
      </c>
      <c r="I46" s="3">
        <v>61.11</v>
      </c>
      <c r="J46" s="3">
        <v>0</v>
      </c>
      <c r="K46" s="7">
        <f t="shared" si="0"/>
        <v>1.6799999999999997</v>
      </c>
      <c r="L46" s="8">
        <f t="shared" si="1"/>
        <v>2.6755852842809361E-2</v>
      </c>
    </row>
    <row r="47" spans="1:12" x14ac:dyDescent="0.25">
      <c r="A47" s="1">
        <v>46</v>
      </c>
      <c r="B47" s="2" t="s">
        <v>145</v>
      </c>
      <c r="C47" s="2" t="s">
        <v>146</v>
      </c>
      <c r="D47" s="2" t="s">
        <v>147</v>
      </c>
      <c r="E47" s="3">
        <v>5822.8818000000001</v>
      </c>
      <c r="F47" s="3">
        <v>5832.5472</v>
      </c>
      <c r="G47" s="3">
        <v>15</v>
      </c>
      <c r="H47" s="3">
        <v>144.97999999999999</v>
      </c>
      <c r="I47" s="3">
        <v>143.11000000000001</v>
      </c>
      <c r="J47" s="3">
        <v>0</v>
      </c>
      <c r="K47" s="7">
        <f t="shared" si="0"/>
        <v>1.8699999999999761</v>
      </c>
      <c r="L47" s="8">
        <f t="shared" si="1"/>
        <v>1.2898330804248698E-2</v>
      </c>
    </row>
    <row r="48" spans="1:12" x14ac:dyDescent="0.25">
      <c r="A48" s="1">
        <v>47</v>
      </c>
      <c r="B48" s="2" t="s">
        <v>148</v>
      </c>
      <c r="C48" s="2" t="s">
        <v>149</v>
      </c>
      <c r="D48" s="2" t="s">
        <v>150</v>
      </c>
      <c r="E48" s="3">
        <v>46296.63</v>
      </c>
      <c r="F48" s="3">
        <v>46305.56</v>
      </c>
      <c r="G48" s="3">
        <v>160</v>
      </c>
      <c r="H48" s="3">
        <v>1428.8</v>
      </c>
      <c r="I48" s="3">
        <v>1123.99</v>
      </c>
      <c r="J48" s="3">
        <v>15.43</v>
      </c>
      <c r="K48" s="7">
        <f t="shared" si="0"/>
        <v>320.24</v>
      </c>
      <c r="L48" s="8">
        <f t="shared" si="1"/>
        <v>0.22173753488017836</v>
      </c>
    </row>
    <row r="49" spans="1:12" x14ac:dyDescent="0.25">
      <c r="A49" s="1">
        <v>48</v>
      </c>
      <c r="B49" s="2" t="s">
        <v>151</v>
      </c>
      <c r="C49" s="2" t="s">
        <v>152</v>
      </c>
      <c r="D49" s="2" t="s">
        <v>153</v>
      </c>
      <c r="E49" s="3">
        <v>49340.07</v>
      </c>
      <c r="F49" s="3">
        <v>49365.91</v>
      </c>
      <c r="G49" s="3">
        <v>50</v>
      </c>
      <c r="H49" s="3">
        <v>1292</v>
      </c>
      <c r="I49" s="3">
        <v>1222.9000000000001</v>
      </c>
      <c r="J49" s="3">
        <v>0</v>
      </c>
      <c r="K49" s="7">
        <f t="shared" si="0"/>
        <v>69.099999999999909</v>
      </c>
      <c r="L49" s="8">
        <f t="shared" si="1"/>
        <v>5.3482972136222842E-2</v>
      </c>
    </row>
    <row r="50" spans="1:12" x14ac:dyDescent="0.25">
      <c r="A50" s="1">
        <v>49</v>
      </c>
      <c r="B50" s="2" t="s">
        <v>154</v>
      </c>
      <c r="C50" s="2" t="s">
        <v>155</v>
      </c>
      <c r="D50" s="2" t="s">
        <v>156</v>
      </c>
      <c r="E50" s="3">
        <v>51386.39</v>
      </c>
      <c r="F50" s="3">
        <v>51394.09</v>
      </c>
      <c r="G50" s="3">
        <v>120</v>
      </c>
      <c r="H50" s="3">
        <v>924</v>
      </c>
      <c r="I50" s="3">
        <v>853.66</v>
      </c>
      <c r="J50" s="3">
        <v>47.19</v>
      </c>
      <c r="K50" s="7">
        <f t="shared" si="0"/>
        <v>117.53000000000009</v>
      </c>
      <c r="L50" s="8">
        <f t="shared" si="1"/>
        <v>0.12101648493085811</v>
      </c>
    </row>
    <row r="51" spans="1:12" x14ac:dyDescent="0.25">
      <c r="A51" s="1">
        <v>50</v>
      </c>
      <c r="B51" s="2" t="s">
        <v>157</v>
      </c>
      <c r="C51" s="2" t="s">
        <v>158</v>
      </c>
      <c r="D51" s="2" t="s">
        <v>159</v>
      </c>
      <c r="E51" s="3">
        <v>40345.65</v>
      </c>
      <c r="F51" s="3">
        <v>40366.15</v>
      </c>
      <c r="G51" s="3">
        <v>120</v>
      </c>
      <c r="H51" s="3">
        <v>2460</v>
      </c>
      <c r="I51" s="3">
        <v>2028.81</v>
      </c>
      <c r="J51" s="3">
        <v>114.2</v>
      </c>
      <c r="K51" s="7">
        <f t="shared" si="0"/>
        <v>545.38999999999987</v>
      </c>
      <c r="L51" s="8">
        <f t="shared" si="1"/>
        <v>0.21186776474244423</v>
      </c>
    </row>
    <row r="52" spans="1:12" x14ac:dyDescent="0.25">
      <c r="A52" s="1">
        <v>51</v>
      </c>
      <c r="B52" s="2" t="s">
        <v>160</v>
      </c>
      <c r="C52" s="2" t="s">
        <v>161</v>
      </c>
      <c r="D52" s="2" t="s">
        <v>162</v>
      </c>
      <c r="E52" s="3">
        <v>113121.58</v>
      </c>
      <c r="F52" s="3">
        <v>113163.46</v>
      </c>
      <c r="G52" s="3">
        <v>30</v>
      </c>
      <c r="H52" s="3">
        <v>1256.4000000000001</v>
      </c>
      <c r="I52" s="3">
        <v>989.1</v>
      </c>
      <c r="J52" s="3">
        <v>0</v>
      </c>
      <c r="K52" s="7">
        <f t="shared" si="0"/>
        <v>267.30000000000007</v>
      </c>
      <c r="L52" s="8">
        <f t="shared" si="1"/>
        <v>0.21275071633237827</v>
      </c>
    </row>
    <row r="53" spans="1:12" x14ac:dyDescent="0.25">
      <c r="A53" s="1">
        <v>52</v>
      </c>
      <c r="B53" s="2" t="s">
        <v>163</v>
      </c>
      <c r="C53" s="2" t="s">
        <v>164</v>
      </c>
      <c r="D53" s="2" t="s">
        <v>165</v>
      </c>
      <c r="E53" s="3">
        <v>53354.87</v>
      </c>
      <c r="F53" s="3">
        <v>53371.9</v>
      </c>
      <c r="G53" s="3">
        <v>50</v>
      </c>
      <c r="H53" s="3">
        <v>851.5</v>
      </c>
      <c r="I53" s="3">
        <v>1638.66</v>
      </c>
      <c r="J53" s="3">
        <v>405.79</v>
      </c>
      <c r="K53" s="7">
        <f t="shared" si="0"/>
        <v>-381.37000000000012</v>
      </c>
      <c r="L53" s="8">
        <f t="shared" si="1"/>
        <v>-0.30332699695376575</v>
      </c>
    </row>
    <row r="54" spans="1:12" x14ac:dyDescent="0.25">
      <c r="A54" s="1">
        <v>53</v>
      </c>
      <c r="B54" s="2" t="s">
        <v>166</v>
      </c>
      <c r="C54" s="2" t="s">
        <v>167</v>
      </c>
      <c r="D54" s="2" t="s">
        <v>168</v>
      </c>
      <c r="E54" s="3">
        <v>54513.85</v>
      </c>
      <c r="F54" s="3">
        <v>54539.98</v>
      </c>
      <c r="G54" s="3">
        <v>80</v>
      </c>
      <c r="H54" s="3">
        <v>2090.4</v>
      </c>
      <c r="I54" s="3">
        <v>1950.52</v>
      </c>
      <c r="J54" s="3">
        <v>22.33</v>
      </c>
      <c r="K54" s="7">
        <f t="shared" si="0"/>
        <v>162.21000000000004</v>
      </c>
      <c r="L54" s="8">
        <f t="shared" si="1"/>
        <v>7.6777439616041818E-2</v>
      </c>
    </row>
    <row r="55" spans="1:12" x14ac:dyDescent="0.25">
      <c r="A55" s="1">
        <v>54</v>
      </c>
      <c r="B55" s="2" t="s">
        <v>169</v>
      </c>
      <c r="C55" s="2" t="s">
        <v>170</v>
      </c>
      <c r="D55" s="2" t="s">
        <v>171</v>
      </c>
      <c r="E55" s="3">
        <v>21210.976299999998</v>
      </c>
      <c r="F55" s="3">
        <v>21226.077300000001</v>
      </c>
      <c r="G55" s="3">
        <v>80</v>
      </c>
      <c r="H55" s="3">
        <v>1208.08</v>
      </c>
      <c r="I55" s="3">
        <v>1123.07</v>
      </c>
      <c r="J55" s="3">
        <v>219.31</v>
      </c>
      <c r="K55" s="7">
        <f t="shared" si="0"/>
        <v>304.31999999999994</v>
      </c>
      <c r="L55" s="8">
        <f t="shared" si="1"/>
        <v>0.21320031666187936</v>
      </c>
    </row>
    <row r="56" spans="1:12" x14ac:dyDescent="0.25">
      <c r="A56" s="1">
        <v>55</v>
      </c>
      <c r="B56" s="2" t="s">
        <v>172</v>
      </c>
      <c r="C56" s="2" t="s">
        <v>173</v>
      </c>
      <c r="D56" s="2" t="s">
        <v>174</v>
      </c>
      <c r="E56" s="3">
        <v>8651.8176000000003</v>
      </c>
      <c r="F56" s="3">
        <v>8667.5166000000008</v>
      </c>
      <c r="G56" s="3">
        <v>50</v>
      </c>
      <c r="H56" s="3">
        <v>784.95</v>
      </c>
      <c r="I56" s="3">
        <v>1007.56</v>
      </c>
      <c r="J56" s="3">
        <v>274.70999999999998</v>
      </c>
      <c r="K56" s="7">
        <f t="shared" si="0"/>
        <v>52.100000000000136</v>
      </c>
      <c r="L56" s="8">
        <f t="shared" si="1"/>
        <v>4.9166713851612906E-2</v>
      </c>
    </row>
    <row r="57" spans="1:12" x14ac:dyDescent="0.25">
      <c r="A57" s="1">
        <v>56</v>
      </c>
      <c r="B57" s="2" t="s">
        <v>175</v>
      </c>
      <c r="C57" s="2" t="s">
        <v>176</v>
      </c>
      <c r="D57" s="2" t="s">
        <v>177</v>
      </c>
      <c r="E57" s="3">
        <v>22222.170300000002</v>
      </c>
      <c r="F57" s="3">
        <v>22224.209200000001</v>
      </c>
      <c r="G57" s="3">
        <v>50</v>
      </c>
      <c r="H57" s="3">
        <v>101.94</v>
      </c>
      <c r="I57" s="3">
        <v>103.01</v>
      </c>
      <c r="J57" s="3">
        <v>0</v>
      </c>
      <c r="K57" s="7">
        <f t="shared" si="0"/>
        <v>-1.0700000000000074</v>
      </c>
      <c r="L57" s="8">
        <f t="shared" si="1"/>
        <v>-1.0496370413969074E-2</v>
      </c>
    </row>
    <row r="58" spans="1:12" x14ac:dyDescent="0.25">
      <c r="A58" s="1">
        <v>57</v>
      </c>
      <c r="B58" s="2" t="s">
        <v>178</v>
      </c>
      <c r="C58" s="2" t="s">
        <v>179</v>
      </c>
      <c r="D58" s="2" t="s">
        <v>180</v>
      </c>
      <c r="E58" s="3">
        <v>0</v>
      </c>
      <c r="F58" s="3">
        <v>0</v>
      </c>
      <c r="G58" s="3">
        <v>50</v>
      </c>
      <c r="H58" s="3">
        <v>0</v>
      </c>
      <c r="I58" s="3">
        <v>1101.1600000000001</v>
      </c>
      <c r="J58" s="3">
        <v>0</v>
      </c>
      <c r="K58" s="7">
        <f t="shared" si="0"/>
        <v>-1101.1600000000001</v>
      </c>
      <c r="L58" s="8" t="e">
        <f t="shared" si="1"/>
        <v>#DIV/0!</v>
      </c>
    </row>
    <row r="59" spans="1:12" x14ac:dyDescent="0.25">
      <c r="A59" s="1">
        <v>58</v>
      </c>
      <c r="B59" s="2" t="s">
        <v>181</v>
      </c>
      <c r="C59" s="2" t="s">
        <v>182</v>
      </c>
      <c r="D59" s="2" t="s">
        <v>183</v>
      </c>
      <c r="E59" s="3">
        <v>0</v>
      </c>
      <c r="F59" s="3">
        <v>0</v>
      </c>
      <c r="G59" s="3">
        <v>15</v>
      </c>
      <c r="H59" s="3">
        <v>0</v>
      </c>
      <c r="I59" s="3">
        <v>352.56</v>
      </c>
      <c r="J59" s="3">
        <v>0</v>
      </c>
      <c r="K59" s="7">
        <f t="shared" si="0"/>
        <v>-352.56</v>
      </c>
      <c r="L59" s="8" t="e">
        <f t="shared" si="1"/>
        <v>#DIV/0!</v>
      </c>
    </row>
    <row r="60" spans="1:12" x14ac:dyDescent="0.25">
      <c r="A60" s="1">
        <v>59</v>
      </c>
      <c r="B60" s="2" t="s">
        <v>184</v>
      </c>
      <c r="C60" s="2" t="s">
        <v>185</v>
      </c>
      <c r="D60" s="2" t="s">
        <v>186</v>
      </c>
      <c r="E60" s="3">
        <v>46168.715799999998</v>
      </c>
      <c r="F60" s="3">
        <v>46197.186000000002</v>
      </c>
      <c r="G60" s="3">
        <v>50</v>
      </c>
      <c r="H60" s="3">
        <v>1423.51</v>
      </c>
      <c r="I60" s="3">
        <v>1370.02</v>
      </c>
      <c r="J60" s="3">
        <v>0</v>
      </c>
      <c r="K60" s="7">
        <f t="shared" si="0"/>
        <v>53.490000000000009</v>
      </c>
      <c r="L60" s="8">
        <f t="shared" si="1"/>
        <v>3.7576132236513973E-2</v>
      </c>
    </row>
    <row r="61" spans="1:12" x14ac:dyDescent="0.25">
      <c r="A61" s="1">
        <v>60</v>
      </c>
      <c r="B61" s="2" t="s">
        <v>187</v>
      </c>
      <c r="C61" s="2" t="s">
        <v>188</v>
      </c>
      <c r="D61" s="2" t="s">
        <v>189</v>
      </c>
      <c r="E61" s="3">
        <v>73185.58</v>
      </c>
      <c r="F61" s="3">
        <v>73203.98</v>
      </c>
      <c r="G61" s="3">
        <v>60</v>
      </c>
      <c r="H61" s="3">
        <v>1104</v>
      </c>
      <c r="I61" s="3">
        <v>1043.1300000000001</v>
      </c>
      <c r="J61" s="3">
        <v>0</v>
      </c>
      <c r="K61" s="7">
        <f t="shared" si="0"/>
        <v>60.869999999999891</v>
      </c>
      <c r="L61" s="8">
        <f t="shared" si="1"/>
        <v>5.5135869565217294E-2</v>
      </c>
    </row>
    <row r="62" spans="1:12" x14ac:dyDescent="0.25">
      <c r="A62" s="1">
        <v>61</v>
      </c>
      <c r="B62" s="2" t="s">
        <v>190</v>
      </c>
      <c r="C62" s="2" t="s">
        <v>191</v>
      </c>
      <c r="D62" s="2" t="s">
        <v>192</v>
      </c>
      <c r="E62" s="3">
        <v>72444.738400000002</v>
      </c>
      <c r="F62" s="3">
        <v>72467.594700000001</v>
      </c>
      <c r="G62" s="3">
        <v>40</v>
      </c>
      <c r="H62" s="3">
        <v>914.25</v>
      </c>
      <c r="I62" s="3">
        <v>885.72</v>
      </c>
      <c r="J62" s="3">
        <v>0</v>
      </c>
      <c r="K62" s="7">
        <f t="shared" si="0"/>
        <v>28.529999999999973</v>
      </c>
      <c r="L62" s="8">
        <f t="shared" si="1"/>
        <v>3.1205906480721874E-2</v>
      </c>
    </row>
    <row r="63" spans="1:12" x14ac:dyDescent="0.25">
      <c r="A63" s="1">
        <v>62</v>
      </c>
      <c r="B63" s="2" t="s">
        <v>193</v>
      </c>
      <c r="C63" s="2" t="s">
        <v>194</v>
      </c>
      <c r="D63" s="2" t="s">
        <v>195</v>
      </c>
      <c r="E63" s="3">
        <v>45489.31</v>
      </c>
      <c r="F63" s="3">
        <v>45511.35</v>
      </c>
      <c r="G63" s="3">
        <v>80</v>
      </c>
      <c r="H63" s="3">
        <v>1763.2</v>
      </c>
      <c r="I63" s="3">
        <v>1488.19</v>
      </c>
      <c r="J63" s="3">
        <v>48.6</v>
      </c>
      <c r="K63" s="7">
        <f t="shared" si="0"/>
        <v>323.6099999999999</v>
      </c>
      <c r="L63" s="8">
        <f t="shared" si="1"/>
        <v>0.1786124296279942</v>
      </c>
    </row>
    <row r="64" spans="1:12" x14ac:dyDescent="0.25">
      <c r="A64" s="1">
        <v>63</v>
      </c>
      <c r="B64" s="2" t="s">
        <v>196</v>
      </c>
      <c r="C64" s="2" t="s">
        <v>197</v>
      </c>
      <c r="D64" s="2" t="s">
        <v>198</v>
      </c>
      <c r="E64" s="3">
        <v>39695.89</v>
      </c>
      <c r="F64" s="3">
        <v>39709.58</v>
      </c>
      <c r="G64" s="3">
        <v>30</v>
      </c>
      <c r="H64" s="3">
        <v>410.7</v>
      </c>
      <c r="I64" s="3">
        <v>393.33</v>
      </c>
      <c r="J64" s="3">
        <v>0</v>
      </c>
      <c r="K64" s="7">
        <f t="shared" si="0"/>
        <v>17.370000000000005</v>
      </c>
      <c r="L64" s="8">
        <f t="shared" si="1"/>
        <v>4.2293644996347711E-2</v>
      </c>
    </row>
    <row r="65" spans="1:12" x14ac:dyDescent="0.25">
      <c r="A65" s="1">
        <v>64</v>
      </c>
      <c r="B65" s="2" t="s">
        <v>199</v>
      </c>
      <c r="C65" s="2" t="s">
        <v>200</v>
      </c>
      <c r="D65" s="2" t="s">
        <v>201</v>
      </c>
      <c r="E65" s="3">
        <v>23461.32</v>
      </c>
      <c r="F65" s="3">
        <v>23463.87</v>
      </c>
      <c r="G65" s="3">
        <v>80</v>
      </c>
      <c r="H65" s="3">
        <v>204</v>
      </c>
      <c r="I65" s="3">
        <v>213.19</v>
      </c>
      <c r="J65" s="3">
        <v>0</v>
      </c>
      <c r="K65" s="7">
        <f t="shared" si="0"/>
        <v>-9.1899999999999977</v>
      </c>
      <c r="L65" s="8">
        <f t="shared" si="1"/>
        <v>-4.5049019607843126E-2</v>
      </c>
    </row>
    <row r="66" spans="1:12" x14ac:dyDescent="0.25">
      <c r="A66" s="1">
        <v>65</v>
      </c>
      <c r="B66" s="2" t="s">
        <v>202</v>
      </c>
      <c r="C66" s="2" t="s">
        <v>203</v>
      </c>
      <c r="D66" s="2" t="s">
        <v>204</v>
      </c>
      <c r="E66" s="3">
        <v>23396.33</v>
      </c>
      <c r="F66" s="3">
        <v>23401.83</v>
      </c>
      <c r="G66" s="3">
        <v>80</v>
      </c>
      <c r="H66" s="3">
        <v>440</v>
      </c>
      <c r="I66" s="3">
        <v>411.38</v>
      </c>
      <c r="J66" s="3">
        <v>0</v>
      </c>
      <c r="K66" s="7">
        <f t="shared" si="0"/>
        <v>28.620000000000005</v>
      </c>
      <c r="L66" s="8">
        <f t="shared" si="1"/>
        <v>6.5045454545454559E-2</v>
      </c>
    </row>
    <row r="67" spans="1:12" x14ac:dyDescent="0.25">
      <c r="A67" s="1">
        <v>66</v>
      </c>
      <c r="B67" s="2" t="s">
        <v>205</v>
      </c>
      <c r="C67" s="2" t="s">
        <v>206</v>
      </c>
      <c r="D67" s="2" t="s">
        <v>207</v>
      </c>
      <c r="E67" s="3">
        <v>6101.2731999999996</v>
      </c>
      <c r="F67" s="3">
        <v>6108.0456000000004</v>
      </c>
      <c r="G67" s="3">
        <v>50</v>
      </c>
      <c r="H67" s="3">
        <v>338.62</v>
      </c>
      <c r="I67" s="3">
        <v>328.81</v>
      </c>
      <c r="J67" s="3">
        <v>0</v>
      </c>
      <c r="K67" s="7">
        <f t="shared" ref="K67:K130" si="2">(H67+J67)-I67</f>
        <v>9.8100000000000023</v>
      </c>
      <c r="L67" s="8">
        <f t="shared" ref="L67:L130" si="3">K67/(H67+J67)</f>
        <v>2.8970527434882765E-2</v>
      </c>
    </row>
    <row r="68" spans="1:12" x14ac:dyDescent="0.25">
      <c r="A68" s="1">
        <v>67</v>
      </c>
      <c r="B68" s="2" t="s">
        <v>208</v>
      </c>
      <c r="C68" s="2" t="s">
        <v>209</v>
      </c>
      <c r="D68" s="2" t="s">
        <v>210</v>
      </c>
      <c r="E68" s="3">
        <v>49080.265599999999</v>
      </c>
      <c r="F68" s="3">
        <v>49090.906300000002</v>
      </c>
      <c r="G68" s="3">
        <v>80</v>
      </c>
      <c r="H68" s="3">
        <v>851.26</v>
      </c>
      <c r="I68" s="3">
        <v>813.34</v>
      </c>
      <c r="J68" s="3">
        <v>0</v>
      </c>
      <c r="K68" s="7">
        <f t="shared" si="2"/>
        <v>37.919999999999959</v>
      </c>
      <c r="L68" s="8">
        <f t="shared" si="3"/>
        <v>4.454573220872584E-2</v>
      </c>
    </row>
    <row r="69" spans="1:12" x14ac:dyDescent="0.25">
      <c r="A69" s="1">
        <v>68</v>
      </c>
      <c r="B69" s="2" t="s">
        <v>211</v>
      </c>
      <c r="C69" s="2" t="s">
        <v>212</v>
      </c>
      <c r="D69" s="2" t="s">
        <v>213</v>
      </c>
      <c r="E69" s="3">
        <v>17672.78</v>
      </c>
      <c r="F69" s="3">
        <v>17678.21</v>
      </c>
      <c r="G69" s="3">
        <v>50</v>
      </c>
      <c r="H69" s="3">
        <v>271.5</v>
      </c>
      <c r="I69" s="3">
        <v>267.81</v>
      </c>
      <c r="J69" s="3">
        <v>0</v>
      </c>
      <c r="K69" s="7">
        <f t="shared" si="2"/>
        <v>3.6899999999999977</v>
      </c>
      <c r="L69" s="8">
        <f t="shared" si="3"/>
        <v>1.3591160220994467E-2</v>
      </c>
    </row>
    <row r="70" spans="1:12" x14ac:dyDescent="0.25">
      <c r="A70" s="1">
        <v>69</v>
      </c>
      <c r="B70" s="2" t="s">
        <v>214</v>
      </c>
      <c r="C70" s="2" t="s">
        <v>215</v>
      </c>
      <c r="D70" s="2" t="s">
        <v>216</v>
      </c>
      <c r="E70" s="3">
        <v>25855.16</v>
      </c>
      <c r="F70" s="3">
        <v>25865.599999999999</v>
      </c>
      <c r="G70" s="3">
        <v>100</v>
      </c>
      <c r="H70" s="3">
        <v>1044</v>
      </c>
      <c r="I70" s="3">
        <v>1116</v>
      </c>
      <c r="J70" s="3">
        <v>128.97</v>
      </c>
      <c r="K70" s="7">
        <f t="shared" si="2"/>
        <v>56.970000000000027</v>
      </c>
      <c r="L70" s="8">
        <f t="shared" si="3"/>
        <v>4.8569017110412054E-2</v>
      </c>
    </row>
    <row r="71" spans="1:12" x14ac:dyDescent="0.25">
      <c r="A71" s="1">
        <v>70</v>
      </c>
      <c r="B71" s="2" t="s">
        <v>217</v>
      </c>
      <c r="C71" s="2" t="s">
        <v>218</v>
      </c>
      <c r="D71" s="2" t="s">
        <v>219</v>
      </c>
      <c r="E71" s="3">
        <v>58699.55</v>
      </c>
      <c r="F71" s="3">
        <v>58713.37</v>
      </c>
      <c r="G71" s="3">
        <v>80</v>
      </c>
      <c r="H71" s="3">
        <v>1105.5999999999999</v>
      </c>
      <c r="I71" s="3">
        <v>1346.8</v>
      </c>
      <c r="J71" s="3">
        <v>475.48</v>
      </c>
      <c r="K71" s="7">
        <f t="shared" si="2"/>
        <v>234.27999999999997</v>
      </c>
      <c r="L71" s="8">
        <f t="shared" si="3"/>
        <v>0.14817719533483439</v>
      </c>
    </row>
    <row r="72" spans="1:12" x14ac:dyDescent="0.25">
      <c r="A72" s="1">
        <v>71</v>
      </c>
      <c r="B72" s="2" t="s">
        <v>220</v>
      </c>
      <c r="C72" s="2" t="s">
        <v>221</v>
      </c>
      <c r="D72" s="2" t="s">
        <v>222</v>
      </c>
      <c r="E72" s="3">
        <v>38572.379999999997</v>
      </c>
      <c r="F72" s="3">
        <v>38591.94</v>
      </c>
      <c r="G72" s="3">
        <v>50</v>
      </c>
      <c r="H72" s="3">
        <v>978</v>
      </c>
      <c r="I72" s="3">
        <v>1036.24</v>
      </c>
      <c r="J72" s="3">
        <v>185.57</v>
      </c>
      <c r="K72" s="7">
        <f t="shared" si="2"/>
        <v>127.32999999999993</v>
      </c>
      <c r="L72" s="8">
        <f t="shared" si="3"/>
        <v>0.10943045970590505</v>
      </c>
    </row>
    <row r="73" spans="1:12" x14ac:dyDescent="0.25">
      <c r="A73" s="1">
        <v>72</v>
      </c>
      <c r="B73" s="2" t="s">
        <v>223</v>
      </c>
      <c r="C73" s="2" t="s">
        <v>224</v>
      </c>
      <c r="D73" s="2" t="s">
        <v>225</v>
      </c>
      <c r="E73" s="3">
        <v>33186.050000000003</v>
      </c>
      <c r="F73" s="3">
        <v>33198.11</v>
      </c>
      <c r="G73" s="3">
        <v>60</v>
      </c>
      <c r="H73" s="3">
        <v>723.6</v>
      </c>
      <c r="I73" s="3">
        <v>796.51</v>
      </c>
      <c r="J73" s="3">
        <v>62.79</v>
      </c>
      <c r="K73" s="7">
        <f t="shared" si="2"/>
        <v>-10.120000000000005</v>
      </c>
      <c r="L73" s="8">
        <f t="shared" si="3"/>
        <v>-1.2868932717862644E-2</v>
      </c>
    </row>
    <row r="74" spans="1:12" x14ac:dyDescent="0.25">
      <c r="A74" s="1">
        <v>73</v>
      </c>
      <c r="B74" s="2" t="s">
        <v>226</v>
      </c>
      <c r="C74" s="2" t="s">
        <v>227</v>
      </c>
      <c r="D74" s="2" t="s">
        <v>228</v>
      </c>
      <c r="E74" s="3">
        <v>36478.519999999997</v>
      </c>
      <c r="F74" s="3">
        <v>36495.050000000003</v>
      </c>
      <c r="G74" s="3">
        <v>80</v>
      </c>
      <c r="H74" s="3">
        <v>1322.4</v>
      </c>
      <c r="I74" s="3">
        <v>1342.86</v>
      </c>
      <c r="J74" s="3">
        <v>66.31</v>
      </c>
      <c r="K74" s="7">
        <f t="shared" si="2"/>
        <v>45.850000000000136</v>
      </c>
      <c r="L74" s="8">
        <f t="shared" si="3"/>
        <v>3.3016252493321234E-2</v>
      </c>
    </row>
    <row r="75" spans="1:12" x14ac:dyDescent="0.25">
      <c r="A75" s="1">
        <v>74</v>
      </c>
      <c r="B75" s="2" t="s">
        <v>229</v>
      </c>
      <c r="C75" s="2" t="s">
        <v>230</v>
      </c>
      <c r="D75" s="2" t="s">
        <v>231</v>
      </c>
      <c r="E75" s="3">
        <v>35499.01</v>
      </c>
      <c r="F75" s="3">
        <v>35505.69</v>
      </c>
      <c r="G75" s="3">
        <v>50</v>
      </c>
      <c r="H75" s="3">
        <v>334</v>
      </c>
      <c r="I75" s="3">
        <v>372.93</v>
      </c>
      <c r="J75" s="3">
        <v>0</v>
      </c>
      <c r="K75" s="7">
        <f t="shared" si="2"/>
        <v>-38.930000000000007</v>
      </c>
      <c r="L75" s="8">
        <f t="shared" si="3"/>
        <v>-0.11655688622754493</v>
      </c>
    </row>
    <row r="76" spans="1:12" x14ac:dyDescent="0.25">
      <c r="A76" s="1">
        <v>75</v>
      </c>
      <c r="B76" s="2" t="s">
        <v>232</v>
      </c>
      <c r="C76" s="2" t="s">
        <v>233</v>
      </c>
      <c r="D76" s="2" t="s">
        <v>234</v>
      </c>
      <c r="E76" s="3">
        <v>59397.14</v>
      </c>
      <c r="F76" s="3">
        <v>59402.6</v>
      </c>
      <c r="G76" s="3">
        <v>80</v>
      </c>
      <c r="H76" s="3">
        <v>436.8</v>
      </c>
      <c r="I76" s="3">
        <v>487.96</v>
      </c>
      <c r="J76" s="3">
        <v>52.45</v>
      </c>
      <c r="K76" s="7">
        <f t="shared" si="2"/>
        <v>1.2900000000000205</v>
      </c>
      <c r="L76" s="8">
        <f t="shared" si="3"/>
        <v>2.6366888094021879E-3</v>
      </c>
    </row>
    <row r="77" spans="1:12" x14ac:dyDescent="0.25">
      <c r="A77" s="1">
        <v>76</v>
      </c>
      <c r="B77" s="2" t="s">
        <v>235</v>
      </c>
      <c r="C77" s="2" t="s">
        <v>236</v>
      </c>
      <c r="D77" s="2" t="s">
        <v>237</v>
      </c>
      <c r="E77" s="3">
        <v>20388.444100000001</v>
      </c>
      <c r="F77" s="3">
        <v>20405.250499999998</v>
      </c>
      <c r="G77" s="3">
        <v>15</v>
      </c>
      <c r="H77" s="3">
        <v>252.1</v>
      </c>
      <c r="I77" s="3">
        <v>242.84</v>
      </c>
      <c r="J77" s="3">
        <v>0</v>
      </c>
      <c r="K77" s="7">
        <f t="shared" si="2"/>
        <v>9.2599999999999909</v>
      </c>
      <c r="L77" s="8">
        <f t="shared" si="3"/>
        <v>3.6731455771519206E-2</v>
      </c>
    </row>
    <row r="78" spans="1:12" x14ac:dyDescent="0.25">
      <c r="A78" s="1">
        <v>77</v>
      </c>
      <c r="B78" s="2" t="s">
        <v>238</v>
      </c>
      <c r="C78" s="2" t="s">
        <v>239</v>
      </c>
      <c r="D78" s="2" t="s">
        <v>240</v>
      </c>
      <c r="E78" s="3">
        <v>23566.81</v>
      </c>
      <c r="F78" s="3">
        <v>23574.55</v>
      </c>
      <c r="G78" s="3">
        <v>80</v>
      </c>
      <c r="H78" s="3">
        <v>619.20000000000005</v>
      </c>
      <c r="I78" s="3">
        <v>488.56</v>
      </c>
      <c r="J78" s="3">
        <v>0</v>
      </c>
      <c r="K78" s="7">
        <f t="shared" si="2"/>
        <v>130.64000000000004</v>
      </c>
      <c r="L78" s="8">
        <f t="shared" si="3"/>
        <v>0.21098191214470291</v>
      </c>
    </row>
    <row r="79" spans="1:12" x14ac:dyDescent="0.25">
      <c r="A79" s="1">
        <v>78</v>
      </c>
      <c r="B79" s="2" t="s">
        <v>241</v>
      </c>
      <c r="C79" s="2" t="s">
        <v>242</v>
      </c>
      <c r="D79" s="2" t="s">
        <v>243</v>
      </c>
      <c r="E79" s="3">
        <v>17377.509999999998</v>
      </c>
      <c r="F79" s="3">
        <v>17381.57</v>
      </c>
      <c r="G79" s="3">
        <v>50</v>
      </c>
      <c r="H79" s="3">
        <v>203</v>
      </c>
      <c r="I79" s="3">
        <v>159.57</v>
      </c>
      <c r="J79" s="3">
        <v>0</v>
      </c>
      <c r="K79" s="7">
        <f t="shared" si="2"/>
        <v>43.430000000000007</v>
      </c>
      <c r="L79" s="8">
        <f t="shared" si="3"/>
        <v>0.21394088669950742</v>
      </c>
    </row>
    <row r="80" spans="1:12" x14ac:dyDescent="0.25">
      <c r="A80" s="1">
        <v>79</v>
      </c>
      <c r="B80" s="2" t="s">
        <v>244</v>
      </c>
      <c r="C80" s="2" t="s">
        <v>245</v>
      </c>
      <c r="D80" s="2" t="s">
        <v>246</v>
      </c>
      <c r="E80" s="3">
        <v>35238.17</v>
      </c>
      <c r="F80" s="3">
        <v>35248.800000000003</v>
      </c>
      <c r="G80" s="3">
        <v>100</v>
      </c>
      <c r="H80" s="3">
        <v>1063</v>
      </c>
      <c r="I80" s="3">
        <v>951.29</v>
      </c>
      <c r="J80" s="3">
        <v>0</v>
      </c>
      <c r="K80" s="7">
        <f t="shared" si="2"/>
        <v>111.71000000000004</v>
      </c>
      <c r="L80" s="8">
        <f t="shared" si="3"/>
        <v>0.10508936970837257</v>
      </c>
    </row>
    <row r="81" spans="1:12" x14ac:dyDescent="0.25">
      <c r="A81" s="1">
        <v>80</v>
      </c>
      <c r="B81" s="2" t="s">
        <v>247</v>
      </c>
      <c r="C81" s="2" t="s">
        <v>248</v>
      </c>
      <c r="D81" s="2" t="s">
        <v>249</v>
      </c>
      <c r="E81" s="3">
        <v>24371.61</v>
      </c>
      <c r="F81" s="3">
        <v>24373.55</v>
      </c>
      <c r="G81" s="3">
        <v>80</v>
      </c>
      <c r="H81" s="3">
        <v>155.19999999999999</v>
      </c>
      <c r="I81" s="3">
        <v>156.05000000000001</v>
      </c>
      <c r="J81" s="3">
        <v>0</v>
      </c>
      <c r="K81" s="7">
        <f t="shared" si="2"/>
        <v>-0.85000000000002274</v>
      </c>
      <c r="L81" s="8">
        <f t="shared" si="3"/>
        <v>-5.4768041237114873E-3</v>
      </c>
    </row>
    <row r="82" spans="1:12" x14ac:dyDescent="0.25">
      <c r="A82" s="1">
        <v>81</v>
      </c>
      <c r="B82" s="2" t="s">
        <v>250</v>
      </c>
      <c r="C82" s="2" t="s">
        <v>251</v>
      </c>
      <c r="D82" s="2" t="s">
        <v>252</v>
      </c>
      <c r="E82" s="3">
        <v>13318.137000000001</v>
      </c>
      <c r="F82" s="3">
        <v>13329.157999999999</v>
      </c>
      <c r="G82" s="3">
        <v>50</v>
      </c>
      <c r="H82" s="3">
        <v>551.04999999999995</v>
      </c>
      <c r="I82" s="3">
        <v>522.86</v>
      </c>
      <c r="J82" s="3">
        <v>0</v>
      </c>
      <c r="K82" s="7">
        <f t="shared" si="2"/>
        <v>28.189999999999941</v>
      </c>
      <c r="L82" s="8">
        <f t="shared" si="3"/>
        <v>5.1156882315579244E-2</v>
      </c>
    </row>
    <row r="83" spans="1:12" x14ac:dyDescent="0.25">
      <c r="A83" s="1">
        <v>82</v>
      </c>
      <c r="B83" s="2" t="s">
        <v>253</v>
      </c>
      <c r="C83" s="2" t="s">
        <v>254</v>
      </c>
      <c r="D83" s="2" t="s">
        <v>255</v>
      </c>
      <c r="E83" s="3">
        <v>20759.236499999999</v>
      </c>
      <c r="F83" s="3">
        <v>20766.589899999999</v>
      </c>
      <c r="G83" s="3">
        <v>50</v>
      </c>
      <c r="H83" s="3">
        <v>367.67</v>
      </c>
      <c r="I83" s="3">
        <v>352.69</v>
      </c>
      <c r="J83" s="3">
        <v>0</v>
      </c>
      <c r="K83" s="7">
        <f t="shared" si="2"/>
        <v>14.980000000000018</v>
      </c>
      <c r="L83" s="8">
        <f t="shared" si="3"/>
        <v>4.0743057633203739E-2</v>
      </c>
    </row>
    <row r="84" spans="1:12" x14ac:dyDescent="0.25">
      <c r="A84" s="1">
        <v>83</v>
      </c>
      <c r="B84" s="2" t="s">
        <v>256</v>
      </c>
      <c r="C84" s="2" t="s">
        <v>257</v>
      </c>
      <c r="D84" s="2" t="s">
        <v>258</v>
      </c>
      <c r="E84" s="3">
        <v>63584.567199999998</v>
      </c>
      <c r="F84" s="3">
        <v>63602.283000000003</v>
      </c>
      <c r="G84" s="3">
        <v>30</v>
      </c>
      <c r="H84" s="3">
        <v>531.47</v>
      </c>
      <c r="I84" s="3">
        <v>511.68</v>
      </c>
      <c r="J84" s="3">
        <v>0</v>
      </c>
      <c r="K84" s="7">
        <f t="shared" si="2"/>
        <v>19.79000000000002</v>
      </c>
      <c r="L84" s="8">
        <f t="shared" si="3"/>
        <v>3.7236344478521873E-2</v>
      </c>
    </row>
    <row r="85" spans="1:12" x14ac:dyDescent="0.25">
      <c r="A85" s="1">
        <v>84</v>
      </c>
      <c r="B85" s="2" t="s">
        <v>259</v>
      </c>
      <c r="C85" s="2" t="s">
        <v>260</v>
      </c>
      <c r="D85" s="2" t="s">
        <v>261</v>
      </c>
      <c r="E85" s="3">
        <v>60627.18</v>
      </c>
      <c r="F85" s="3">
        <v>60645.91</v>
      </c>
      <c r="G85" s="3">
        <v>30</v>
      </c>
      <c r="H85" s="3">
        <v>561.9</v>
      </c>
      <c r="I85" s="3">
        <v>654.66999999999996</v>
      </c>
      <c r="J85" s="3">
        <v>209.12</v>
      </c>
      <c r="K85" s="7">
        <f t="shared" si="2"/>
        <v>116.35000000000002</v>
      </c>
      <c r="L85" s="8">
        <f t="shared" si="3"/>
        <v>0.15090399730227494</v>
      </c>
    </row>
    <row r="86" spans="1:12" x14ac:dyDescent="0.25">
      <c r="A86" s="1">
        <v>85</v>
      </c>
      <c r="B86" s="2" t="s">
        <v>262</v>
      </c>
      <c r="C86" s="2" t="s">
        <v>263</v>
      </c>
      <c r="D86" s="2" t="s">
        <v>264</v>
      </c>
      <c r="E86" s="3">
        <v>27333.84</v>
      </c>
      <c r="F86" s="3">
        <v>27356.1</v>
      </c>
      <c r="G86" s="3">
        <v>100</v>
      </c>
      <c r="H86" s="3">
        <v>2226</v>
      </c>
      <c r="I86" s="3">
        <v>2077.29</v>
      </c>
      <c r="J86" s="3">
        <v>13.22</v>
      </c>
      <c r="K86" s="7">
        <f t="shared" si="2"/>
        <v>161.92999999999984</v>
      </c>
      <c r="L86" s="8">
        <f t="shared" si="3"/>
        <v>7.2315359812791885E-2</v>
      </c>
    </row>
    <row r="87" spans="1:12" x14ac:dyDescent="0.25">
      <c r="A87" s="1">
        <v>86</v>
      </c>
      <c r="B87" s="2" t="s">
        <v>265</v>
      </c>
      <c r="C87" s="2" t="s">
        <v>266</v>
      </c>
      <c r="D87" s="2" t="s">
        <v>267</v>
      </c>
      <c r="E87" s="3">
        <v>52255</v>
      </c>
      <c r="F87" s="3">
        <v>52283.8</v>
      </c>
      <c r="G87" s="3">
        <v>50</v>
      </c>
      <c r="H87" s="3">
        <v>1440</v>
      </c>
      <c r="I87" s="3">
        <v>1460.25</v>
      </c>
      <c r="J87" s="3">
        <v>232.42</v>
      </c>
      <c r="K87" s="7">
        <f t="shared" si="2"/>
        <v>212.17000000000007</v>
      </c>
      <c r="L87" s="8">
        <f t="shared" si="3"/>
        <v>0.12686406524676819</v>
      </c>
    </row>
    <row r="88" spans="1:12" x14ac:dyDescent="0.25">
      <c r="A88" s="1">
        <v>87</v>
      </c>
      <c r="B88" s="2" t="s">
        <v>268</v>
      </c>
      <c r="C88" s="2" t="s">
        <v>269</v>
      </c>
      <c r="D88" s="2" t="s">
        <v>270</v>
      </c>
      <c r="E88" s="3">
        <v>4918.8999999999996</v>
      </c>
      <c r="F88" s="3">
        <v>4923.8599999999997</v>
      </c>
      <c r="G88" s="3">
        <v>100</v>
      </c>
      <c r="H88" s="3">
        <v>496</v>
      </c>
      <c r="I88" s="3">
        <v>712.94</v>
      </c>
      <c r="J88" s="3">
        <v>809.41</v>
      </c>
      <c r="K88" s="7">
        <f t="shared" si="2"/>
        <v>592.4699999999998</v>
      </c>
      <c r="L88" s="8">
        <f t="shared" si="3"/>
        <v>0.45385740878344727</v>
      </c>
    </row>
    <row r="89" spans="1:12" x14ac:dyDescent="0.25">
      <c r="A89" s="1">
        <v>88</v>
      </c>
      <c r="B89" s="2" t="s">
        <v>271</v>
      </c>
      <c r="C89" s="2" t="s">
        <v>272</v>
      </c>
      <c r="D89" s="2" t="s">
        <v>273</v>
      </c>
      <c r="E89" s="3">
        <v>30892.49</v>
      </c>
      <c r="F89" s="3">
        <v>30897.11</v>
      </c>
      <c r="G89" s="3">
        <v>80</v>
      </c>
      <c r="H89" s="3">
        <v>369.6</v>
      </c>
      <c r="I89" s="3">
        <v>256.2</v>
      </c>
      <c r="J89" s="3">
        <v>0</v>
      </c>
      <c r="K89" s="7">
        <f t="shared" si="2"/>
        <v>113.40000000000003</v>
      </c>
      <c r="L89" s="8">
        <f t="shared" si="3"/>
        <v>0.30681818181818188</v>
      </c>
    </row>
    <row r="90" spans="1:12" x14ac:dyDescent="0.25">
      <c r="A90" s="1">
        <v>89</v>
      </c>
      <c r="B90" s="2" t="s">
        <v>274</v>
      </c>
      <c r="C90" s="2" t="s">
        <v>275</v>
      </c>
      <c r="D90" s="2" t="s">
        <v>276</v>
      </c>
      <c r="E90" s="3">
        <v>12192.54</v>
      </c>
      <c r="F90" s="3">
        <v>12197.56</v>
      </c>
      <c r="G90" s="3">
        <v>50</v>
      </c>
      <c r="H90" s="3">
        <v>251</v>
      </c>
      <c r="I90" s="3">
        <v>238.9</v>
      </c>
      <c r="J90" s="3">
        <v>0</v>
      </c>
      <c r="K90" s="7">
        <f t="shared" si="2"/>
        <v>12.099999999999994</v>
      </c>
      <c r="L90" s="8">
        <f t="shared" si="3"/>
        <v>4.8207171314741011E-2</v>
      </c>
    </row>
    <row r="91" spans="1:12" x14ac:dyDescent="0.25">
      <c r="A91" s="1">
        <v>90</v>
      </c>
      <c r="B91" s="2" t="s">
        <v>277</v>
      </c>
      <c r="C91" s="2" t="s">
        <v>278</v>
      </c>
      <c r="D91" s="2" t="s">
        <v>279</v>
      </c>
      <c r="E91" s="3">
        <v>34188.939100000003</v>
      </c>
      <c r="F91" s="3">
        <v>34195.857900000003</v>
      </c>
      <c r="G91" s="3">
        <v>50</v>
      </c>
      <c r="H91" s="3">
        <v>345.94</v>
      </c>
      <c r="I91" s="3">
        <v>342.19</v>
      </c>
      <c r="J91" s="3">
        <v>0</v>
      </c>
      <c r="K91" s="7">
        <f t="shared" si="2"/>
        <v>3.75</v>
      </c>
      <c r="L91" s="8">
        <f t="shared" si="3"/>
        <v>1.0840030063016709E-2</v>
      </c>
    </row>
    <row r="92" spans="1:12" x14ac:dyDescent="0.25">
      <c r="A92" s="1">
        <v>91</v>
      </c>
      <c r="B92" s="2" t="s">
        <v>280</v>
      </c>
      <c r="C92" s="2" t="s">
        <v>281</v>
      </c>
      <c r="D92" s="2" t="s">
        <v>282</v>
      </c>
      <c r="E92" s="3">
        <v>21055.24</v>
      </c>
      <c r="F92" s="3">
        <v>21069.17</v>
      </c>
      <c r="G92" s="3">
        <v>50</v>
      </c>
      <c r="H92" s="3">
        <v>696.5</v>
      </c>
      <c r="I92" s="3">
        <v>781.89</v>
      </c>
      <c r="J92" s="3">
        <v>124.9</v>
      </c>
      <c r="K92" s="7">
        <f t="shared" si="2"/>
        <v>39.509999999999991</v>
      </c>
      <c r="L92" s="8">
        <f t="shared" si="3"/>
        <v>4.8100803506208899E-2</v>
      </c>
    </row>
    <row r="93" spans="1:12" x14ac:dyDescent="0.25">
      <c r="A93" s="1">
        <v>92</v>
      </c>
      <c r="B93" s="2" t="s">
        <v>283</v>
      </c>
      <c r="C93" s="2" t="s">
        <v>284</v>
      </c>
      <c r="D93" s="2" t="s">
        <v>285</v>
      </c>
      <c r="E93" s="3">
        <v>48482.508999999998</v>
      </c>
      <c r="F93" s="3">
        <v>48510.409200000002</v>
      </c>
      <c r="G93" s="3">
        <v>80</v>
      </c>
      <c r="H93" s="3">
        <v>2232.02</v>
      </c>
      <c r="I93" s="3">
        <v>2231.62</v>
      </c>
      <c r="J93" s="3">
        <v>199.36</v>
      </c>
      <c r="K93" s="7">
        <f t="shared" si="2"/>
        <v>199.76000000000022</v>
      </c>
      <c r="L93" s="8">
        <f t="shared" si="3"/>
        <v>8.2159103060813282E-2</v>
      </c>
    </row>
    <row r="94" spans="1:12" x14ac:dyDescent="0.25">
      <c r="A94" s="1">
        <v>93</v>
      </c>
      <c r="B94" s="2" t="s">
        <v>286</v>
      </c>
      <c r="C94" s="2" t="s">
        <v>287</v>
      </c>
      <c r="D94" s="2" t="s">
        <v>288</v>
      </c>
      <c r="E94" s="3">
        <v>40616.049700000003</v>
      </c>
      <c r="F94" s="3">
        <v>40625.582300000002</v>
      </c>
      <c r="G94" s="3">
        <v>50</v>
      </c>
      <c r="H94" s="3">
        <v>476.63</v>
      </c>
      <c r="I94" s="3">
        <v>464.59</v>
      </c>
      <c r="J94" s="3">
        <v>0</v>
      </c>
      <c r="K94" s="7">
        <f t="shared" si="2"/>
        <v>12.04000000000002</v>
      </c>
      <c r="L94" s="8">
        <f t="shared" si="3"/>
        <v>2.5260684388309633E-2</v>
      </c>
    </row>
    <row r="95" spans="1:12" x14ac:dyDescent="0.25">
      <c r="A95" s="1">
        <v>94</v>
      </c>
      <c r="B95" s="2" t="s">
        <v>289</v>
      </c>
      <c r="C95" s="2" t="s">
        <v>290</v>
      </c>
      <c r="D95" s="2" t="s">
        <v>291</v>
      </c>
      <c r="E95" s="3">
        <v>19617.7</v>
      </c>
      <c r="F95" s="3">
        <v>19627.86</v>
      </c>
      <c r="G95" s="3">
        <v>80</v>
      </c>
      <c r="H95" s="3">
        <v>812.8</v>
      </c>
      <c r="I95" s="3">
        <v>830.63</v>
      </c>
      <c r="J95" s="3">
        <v>276.60000000000002</v>
      </c>
      <c r="K95" s="7">
        <f t="shared" si="2"/>
        <v>258.7700000000001</v>
      </c>
      <c r="L95" s="8">
        <f t="shared" si="3"/>
        <v>0.2375344226179549</v>
      </c>
    </row>
    <row r="96" spans="1:12" x14ac:dyDescent="0.25">
      <c r="A96" s="1">
        <v>95</v>
      </c>
      <c r="B96" s="2" t="s">
        <v>292</v>
      </c>
      <c r="C96" s="2" t="s">
        <v>293</v>
      </c>
      <c r="D96" s="2" t="s">
        <v>294</v>
      </c>
      <c r="E96" s="3">
        <v>25485.41</v>
      </c>
      <c r="F96" s="3">
        <v>25491.93</v>
      </c>
      <c r="G96" s="3">
        <v>120</v>
      </c>
      <c r="H96" s="3">
        <v>782.4</v>
      </c>
      <c r="I96" s="3">
        <v>697.24</v>
      </c>
      <c r="J96" s="3">
        <v>0</v>
      </c>
      <c r="K96" s="7">
        <f t="shared" si="2"/>
        <v>85.159999999999968</v>
      </c>
      <c r="L96" s="8">
        <f t="shared" si="3"/>
        <v>0.10884458077709608</v>
      </c>
    </row>
    <row r="97" spans="1:12" x14ac:dyDescent="0.25">
      <c r="A97" s="1">
        <v>96</v>
      </c>
      <c r="B97" s="2" t="s">
        <v>295</v>
      </c>
      <c r="C97" s="2" t="s">
        <v>296</v>
      </c>
      <c r="D97" s="2" t="s">
        <v>297</v>
      </c>
      <c r="E97" s="3">
        <v>30581.16</v>
      </c>
      <c r="F97" s="3">
        <v>30601.33</v>
      </c>
      <c r="G97" s="3">
        <v>80</v>
      </c>
      <c r="H97" s="3">
        <v>1613.6</v>
      </c>
      <c r="I97" s="3">
        <v>1297.3699999999999</v>
      </c>
      <c r="J97" s="3">
        <v>71.37</v>
      </c>
      <c r="K97" s="7">
        <f t="shared" si="2"/>
        <v>387.59999999999991</v>
      </c>
      <c r="L97" s="8">
        <f t="shared" si="3"/>
        <v>0.23003376914722515</v>
      </c>
    </row>
    <row r="98" spans="1:12" x14ac:dyDescent="0.25">
      <c r="A98" s="1">
        <v>97</v>
      </c>
      <c r="B98" s="2" t="s">
        <v>298</v>
      </c>
      <c r="C98" s="2" t="s">
        <v>299</v>
      </c>
      <c r="D98" s="2" t="s">
        <v>300</v>
      </c>
      <c r="E98" s="3">
        <v>12995.55</v>
      </c>
      <c r="F98" s="3">
        <v>13000.55</v>
      </c>
      <c r="G98" s="3">
        <v>50</v>
      </c>
      <c r="H98" s="3">
        <v>250</v>
      </c>
      <c r="I98" s="3">
        <v>370.83</v>
      </c>
      <c r="J98" s="3">
        <v>259.2</v>
      </c>
      <c r="K98" s="7">
        <f t="shared" si="2"/>
        <v>138.37</v>
      </c>
      <c r="L98" s="8">
        <f t="shared" si="3"/>
        <v>0.27173998428908092</v>
      </c>
    </row>
    <row r="99" spans="1:12" x14ac:dyDescent="0.25">
      <c r="A99" s="1">
        <v>98</v>
      </c>
      <c r="B99" s="2" t="s">
        <v>301</v>
      </c>
      <c r="C99" s="2" t="s">
        <v>302</v>
      </c>
      <c r="D99" s="2" t="s">
        <v>303</v>
      </c>
      <c r="E99" s="3">
        <v>31092.27</v>
      </c>
      <c r="F99" s="3">
        <v>31098.3</v>
      </c>
      <c r="G99" s="3">
        <v>80</v>
      </c>
      <c r="H99" s="3">
        <v>482.4</v>
      </c>
      <c r="I99" s="3">
        <v>459.62</v>
      </c>
      <c r="J99" s="3">
        <v>0</v>
      </c>
      <c r="K99" s="7">
        <f t="shared" si="2"/>
        <v>22.779999999999973</v>
      </c>
      <c r="L99" s="8">
        <f t="shared" si="3"/>
        <v>4.7222222222222165E-2</v>
      </c>
    </row>
    <row r="100" spans="1:12" x14ac:dyDescent="0.25">
      <c r="A100" s="1">
        <v>99</v>
      </c>
      <c r="B100" s="2" t="s">
        <v>304</v>
      </c>
      <c r="C100" s="2" t="s">
        <v>305</v>
      </c>
      <c r="D100" s="2" t="s">
        <v>306</v>
      </c>
      <c r="E100" s="3">
        <v>43007.89</v>
      </c>
      <c r="F100" s="3">
        <v>43013.15</v>
      </c>
      <c r="G100" s="3">
        <v>60</v>
      </c>
      <c r="H100" s="3">
        <v>315.60000000000002</v>
      </c>
      <c r="I100" s="3">
        <v>296.99</v>
      </c>
      <c r="J100" s="3">
        <v>0</v>
      </c>
      <c r="K100" s="7">
        <f t="shared" si="2"/>
        <v>18.610000000000014</v>
      </c>
      <c r="L100" s="8">
        <f t="shared" si="3"/>
        <v>5.8967046894803588E-2</v>
      </c>
    </row>
    <row r="101" spans="1:12" x14ac:dyDescent="0.25">
      <c r="A101" s="1">
        <v>100</v>
      </c>
      <c r="B101" s="2" t="s">
        <v>307</v>
      </c>
      <c r="C101" s="2" t="s">
        <v>308</v>
      </c>
      <c r="D101" s="2" t="s">
        <v>309</v>
      </c>
      <c r="E101" s="3">
        <v>10819.49</v>
      </c>
      <c r="F101" s="3">
        <v>10822.72</v>
      </c>
      <c r="G101" s="3">
        <v>80</v>
      </c>
      <c r="H101" s="3">
        <v>258.39999999999998</v>
      </c>
      <c r="I101" s="3">
        <v>229.38</v>
      </c>
      <c r="J101" s="3">
        <v>0</v>
      </c>
      <c r="K101" s="7">
        <f t="shared" si="2"/>
        <v>29.019999999999982</v>
      </c>
      <c r="L101" s="8">
        <f t="shared" si="3"/>
        <v>0.11230650154798756</v>
      </c>
    </row>
    <row r="102" spans="1:12" x14ac:dyDescent="0.25">
      <c r="A102" s="1">
        <v>101</v>
      </c>
      <c r="B102" s="2" t="s">
        <v>310</v>
      </c>
      <c r="C102" s="2" t="s">
        <v>311</v>
      </c>
      <c r="D102" s="2" t="s">
        <v>312</v>
      </c>
      <c r="E102" s="3">
        <v>2987.3382000000001</v>
      </c>
      <c r="F102" s="3">
        <v>2989.9881999999998</v>
      </c>
      <c r="G102" s="3">
        <v>80</v>
      </c>
      <c r="H102" s="3">
        <v>212</v>
      </c>
      <c r="I102" s="3">
        <v>205.66</v>
      </c>
      <c r="J102" s="3">
        <v>0</v>
      </c>
      <c r="K102" s="7">
        <f t="shared" si="2"/>
        <v>6.3400000000000034</v>
      </c>
      <c r="L102" s="8">
        <f t="shared" si="3"/>
        <v>2.9905660377358506E-2</v>
      </c>
    </row>
    <row r="103" spans="1:12" x14ac:dyDescent="0.25">
      <c r="A103" s="1">
        <v>102</v>
      </c>
      <c r="B103" s="2" t="s">
        <v>313</v>
      </c>
      <c r="C103" s="2" t="s">
        <v>314</v>
      </c>
      <c r="D103" s="2" t="s">
        <v>315</v>
      </c>
      <c r="E103" s="3">
        <v>23397.350299999998</v>
      </c>
      <c r="F103" s="3">
        <v>23405.080399999999</v>
      </c>
      <c r="G103" s="3">
        <v>40</v>
      </c>
      <c r="H103" s="3">
        <v>309.2</v>
      </c>
      <c r="I103" s="3">
        <v>312.37</v>
      </c>
      <c r="J103" s="3">
        <v>0</v>
      </c>
      <c r="K103" s="7">
        <f t="shared" si="2"/>
        <v>-3.1700000000000159</v>
      </c>
      <c r="L103" s="8">
        <f t="shared" si="3"/>
        <v>-1.0252263906856456E-2</v>
      </c>
    </row>
    <row r="104" spans="1:12" x14ac:dyDescent="0.25">
      <c r="A104" s="1">
        <v>103</v>
      </c>
      <c r="B104" s="2" t="s">
        <v>316</v>
      </c>
      <c r="C104" s="2" t="s">
        <v>317</v>
      </c>
      <c r="D104" s="2" t="s">
        <v>318</v>
      </c>
      <c r="E104" s="3">
        <v>25506.13</v>
      </c>
      <c r="F104" s="3">
        <v>25512.47</v>
      </c>
      <c r="G104" s="3">
        <v>40</v>
      </c>
      <c r="H104" s="3">
        <v>253.6</v>
      </c>
      <c r="I104" s="3">
        <v>247.57</v>
      </c>
      <c r="J104" s="3">
        <v>0</v>
      </c>
      <c r="K104" s="7">
        <f t="shared" si="2"/>
        <v>6.0300000000000011</v>
      </c>
      <c r="L104" s="8">
        <f t="shared" si="3"/>
        <v>2.3777602523659312E-2</v>
      </c>
    </row>
    <row r="105" spans="1:12" x14ac:dyDescent="0.25">
      <c r="A105" s="1">
        <v>104</v>
      </c>
      <c r="B105" s="2" t="s">
        <v>319</v>
      </c>
      <c r="C105" s="2" t="s">
        <v>320</v>
      </c>
      <c r="D105" s="2" t="s">
        <v>321</v>
      </c>
      <c r="E105" s="3">
        <v>4731.97</v>
      </c>
      <c r="F105" s="3">
        <v>4734.54</v>
      </c>
      <c r="G105" s="3">
        <v>80</v>
      </c>
      <c r="H105" s="3">
        <v>205.6</v>
      </c>
      <c r="I105" s="3">
        <v>191.44</v>
      </c>
      <c r="J105" s="3">
        <v>0</v>
      </c>
      <c r="K105" s="7">
        <f t="shared" si="2"/>
        <v>14.159999999999997</v>
      </c>
      <c r="L105" s="8">
        <f t="shared" si="3"/>
        <v>6.8871595330739291E-2</v>
      </c>
    </row>
    <row r="106" spans="1:12" x14ac:dyDescent="0.25">
      <c r="A106" s="1">
        <v>105</v>
      </c>
      <c r="B106" s="2" t="s">
        <v>322</v>
      </c>
      <c r="C106" s="2" t="s">
        <v>323</v>
      </c>
      <c r="D106" s="2" t="s">
        <v>324</v>
      </c>
      <c r="E106" s="3">
        <v>21793.4</v>
      </c>
      <c r="F106" s="3">
        <v>21797.57</v>
      </c>
      <c r="G106" s="3">
        <v>80</v>
      </c>
      <c r="H106" s="3">
        <v>333.6</v>
      </c>
      <c r="I106" s="3">
        <v>323.04000000000002</v>
      </c>
      <c r="J106" s="3">
        <v>0</v>
      </c>
      <c r="K106" s="7">
        <f t="shared" si="2"/>
        <v>10.560000000000002</v>
      </c>
      <c r="L106" s="8">
        <f t="shared" si="3"/>
        <v>3.1654676258992813E-2</v>
      </c>
    </row>
    <row r="107" spans="1:12" x14ac:dyDescent="0.25">
      <c r="A107" s="1">
        <v>106</v>
      </c>
      <c r="B107" s="2" t="s">
        <v>325</v>
      </c>
      <c r="C107" s="2" t="s">
        <v>326</v>
      </c>
      <c r="D107" s="2" t="s">
        <v>327</v>
      </c>
      <c r="E107" s="3">
        <v>43657.9</v>
      </c>
      <c r="F107" s="3">
        <v>43676.33</v>
      </c>
      <c r="G107" s="3">
        <v>80</v>
      </c>
      <c r="H107" s="3">
        <v>1474.4</v>
      </c>
      <c r="I107" s="3">
        <v>1676.77</v>
      </c>
      <c r="J107" s="3">
        <v>297.06</v>
      </c>
      <c r="K107" s="7">
        <f t="shared" si="2"/>
        <v>94.690000000000055</v>
      </c>
      <c r="L107" s="8">
        <f t="shared" si="3"/>
        <v>5.345308389689863E-2</v>
      </c>
    </row>
    <row r="108" spans="1:12" x14ac:dyDescent="0.25">
      <c r="A108" s="1">
        <v>107</v>
      </c>
      <c r="B108" s="2" t="s">
        <v>328</v>
      </c>
      <c r="C108" s="2" t="s">
        <v>329</v>
      </c>
      <c r="D108" s="2" t="s">
        <v>330</v>
      </c>
      <c r="E108" s="3">
        <v>11295.154399999999</v>
      </c>
      <c r="F108" s="3">
        <v>11302.1738</v>
      </c>
      <c r="G108" s="3">
        <v>30</v>
      </c>
      <c r="H108" s="3">
        <v>210.58</v>
      </c>
      <c r="I108" s="3">
        <v>337.27</v>
      </c>
      <c r="J108" s="3">
        <v>0</v>
      </c>
      <c r="K108" s="7">
        <f t="shared" si="2"/>
        <v>-126.68999999999997</v>
      </c>
      <c r="L108" s="8">
        <f t="shared" si="3"/>
        <v>-0.60162408585810601</v>
      </c>
    </row>
    <row r="109" spans="1:12" x14ac:dyDescent="0.25">
      <c r="A109" s="1">
        <v>108</v>
      </c>
      <c r="B109" s="2" t="s">
        <v>331</v>
      </c>
      <c r="C109" s="2" t="s">
        <v>332</v>
      </c>
      <c r="D109" s="2" t="s">
        <v>333</v>
      </c>
      <c r="E109" s="3">
        <v>30801.83</v>
      </c>
      <c r="F109" s="3">
        <v>30812.69</v>
      </c>
      <c r="G109" s="3">
        <v>80</v>
      </c>
      <c r="H109" s="3">
        <v>868.8</v>
      </c>
      <c r="I109" s="3">
        <v>878.86</v>
      </c>
      <c r="J109" s="3">
        <v>0</v>
      </c>
      <c r="K109" s="7">
        <f t="shared" si="2"/>
        <v>-10.060000000000059</v>
      </c>
      <c r="L109" s="8">
        <f t="shared" si="3"/>
        <v>-1.1579189686924563E-2</v>
      </c>
    </row>
    <row r="110" spans="1:12" x14ac:dyDescent="0.25">
      <c r="A110" s="1">
        <v>109</v>
      </c>
      <c r="B110" s="2" t="s">
        <v>334</v>
      </c>
      <c r="C110" s="2" t="s">
        <v>335</v>
      </c>
      <c r="D110" s="2" t="s">
        <v>336</v>
      </c>
      <c r="E110" s="3">
        <v>32789.360000000001</v>
      </c>
      <c r="F110" s="3">
        <v>32795.54</v>
      </c>
      <c r="G110" s="3">
        <v>50</v>
      </c>
      <c r="H110" s="3">
        <v>309</v>
      </c>
      <c r="I110" s="3">
        <v>319.25</v>
      </c>
      <c r="J110" s="3">
        <v>0</v>
      </c>
      <c r="K110" s="7">
        <f t="shared" si="2"/>
        <v>-10.25</v>
      </c>
      <c r="L110" s="8">
        <f t="shared" si="3"/>
        <v>-3.3171521035598707E-2</v>
      </c>
    </row>
    <row r="111" spans="1:12" x14ac:dyDescent="0.25">
      <c r="A111" s="1">
        <v>110</v>
      </c>
      <c r="B111" s="2" t="s">
        <v>337</v>
      </c>
      <c r="C111" s="2" t="s">
        <v>338</v>
      </c>
      <c r="D111" s="2" t="s">
        <v>339</v>
      </c>
      <c r="E111" s="3">
        <v>8179.3226000000004</v>
      </c>
      <c r="F111" s="3">
        <v>8184.9314000000004</v>
      </c>
      <c r="G111" s="3">
        <v>50</v>
      </c>
      <c r="H111" s="3">
        <v>280.44</v>
      </c>
      <c r="I111" s="3">
        <v>267.55</v>
      </c>
      <c r="J111" s="3">
        <v>0</v>
      </c>
      <c r="K111" s="7">
        <f t="shared" si="2"/>
        <v>12.889999999999986</v>
      </c>
      <c r="L111" s="8">
        <f t="shared" si="3"/>
        <v>4.5963485950648933E-2</v>
      </c>
    </row>
    <row r="112" spans="1:12" x14ac:dyDescent="0.25">
      <c r="A112" s="1">
        <v>111</v>
      </c>
      <c r="B112" s="2" t="s">
        <v>340</v>
      </c>
      <c r="C112" s="2" t="s">
        <v>341</v>
      </c>
      <c r="D112" s="2" t="s">
        <v>342</v>
      </c>
      <c r="E112" s="3">
        <v>17816.0494</v>
      </c>
      <c r="F112" s="3">
        <v>17821.017100000001</v>
      </c>
      <c r="G112" s="3">
        <v>30</v>
      </c>
      <c r="H112" s="3">
        <v>149.03</v>
      </c>
      <c r="I112" s="3">
        <v>144.85</v>
      </c>
      <c r="J112" s="3">
        <v>0</v>
      </c>
      <c r="K112" s="7">
        <f t="shared" si="2"/>
        <v>4.1800000000000068</v>
      </c>
      <c r="L112" s="8">
        <f t="shared" si="3"/>
        <v>2.8048044017983002E-2</v>
      </c>
    </row>
    <row r="113" spans="1:12" x14ac:dyDescent="0.25">
      <c r="A113" s="1">
        <v>112</v>
      </c>
      <c r="B113" s="2" t="s">
        <v>343</v>
      </c>
      <c r="C113" s="2" t="s">
        <v>344</v>
      </c>
      <c r="D113" s="2" t="s">
        <v>345</v>
      </c>
      <c r="E113" s="3">
        <v>5353.8537999999999</v>
      </c>
      <c r="F113" s="3">
        <v>5359.5141999999996</v>
      </c>
      <c r="G113" s="3">
        <v>50</v>
      </c>
      <c r="H113" s="3">
        <v>283.02</v>
      </c>
      <c r="I113" s="3">
        <v>273.05</v>
      </c>
      <c r="J113" s="3">
        <v>0</v>
      </c>
      <c r="K113" s="7">
        <f t="shared" si="2"/>
        <v>9.9699999999999704</v>
      </c>
      <c r="L113" s="8">
        <f t="shared" si="3"/>
        <v>3.5227192424563535E-2</v>
      </c>
    </row>
    <row r="114" spans="1:12" x14ac:dyDescent="0.25">
      <c r="A114" s="1">
        <v>113</v>
      </c>
      <c r="B114" s="2" t="s">
        <v>346</v>
      </c>
      <c r="C114" s="2" t="s">
        <v>347</v>
      </c>
      <c r="D114" s="2" t="s">
        <v>348</v>
      </c>
      <c r="E114" s="3">
        <v>18448.79</v>
      </c>
      <c r="F114" s="3">
        <v>18455.419999999998</v>
      </c>
      <c r="G114" s="3">
        <v>80</v>
      </c>
      <c r="H114" s="3">
        <v>530.4</v>
      </c>
      <c r="I114" s="3">
        <v>320.69</v>
      </c>
      <c r="J114" s="3">
        <v>0</v>
      </c>
      <c r="K114" s="7">
        <f t="shared" si="2"/>
        <v>209.70999999999998</v>
      </c>
      <c r="L114" s="8">
        <f t="shared" si="3"/>
        <v>0.39538084464555051</v>
      </c>
    </row>
    <row r="115" spans="1:12" x14ac:dyDescent="0.25">
      <c r="A115" s="1">
        <v>114</v>
      </c>
      <c r="B115" s="2" t="s">
        <v>349</v>
      </c>
      <c r="C115" s="2" t="s">
        <v>350</v>
      </c>
      <c r="D115" s="2" t="s">
        <v>351</v>
      </c>
      <c r="E115" s="3">
        <v>19563.48</v>
      </c>
      <c r="F115" s="3">
        <v>19567.41</v>
      </c>
      <c r="G115" s="3">
        <v>60</v>
      </c>
      <c r="H115" s="3">
        <v>235.8</v>
      </c>
      <c r="I115" s="3">
        <v>246.86</v>
      </c>
      <c r="J115" s="3">
        <v>0</v>
      </c>
      <c r="K115" s="7">
        <f t="shared" si="2"/>
        <v>-11.060000000000002</v>
      </c>
      <c r="L115" s="8">
        <f t="shared" si="3"/>
        <v>-4.6904156064461418E-2</v>
      </c>
    </row>
    <row r="116" spans="1:12" x14ac:dyDescent="0.25">
      <c r="A116" s="1">
        <v>115</v>
      </c>
      <c r="B116" s="2" t="s">
        <v>352</v>
      </c>
      <c r="C116" s="2" t="s">
        <v>353</v>
      </c>
      <c r="D116" s="2" t="s">
        <v>354</v>
      </c>
      <c r="E116" s="3">
        <v>26222.02</v>
      </c>
      <c r="F116" s="3">
        <v>26227.07</v>
      </c>
      <c r="G116" s="3">
        <v>30</v>
      </c>
      <c r="H116" s="3">
        <v>151.5</v>
      </c>
      <c r="I116" s="3">
        <v>150.93</v>
      </c>
      <c r="J116" s="3">
        <v>0</v>
      </c>
      <c r="K116" s="7">
        <f t="shared" si="2"/>
        <v>0.56999999999999318</v>
      </c>
      <c r="L116" s="8">
        <f t="shared" si="3"/>
        <v>3.7623762376237171E-3</v>
      </c>
    </row>
    <row r="117" spans="1:12" x14ac:dyDescent="0.25">
      <c r="A117" s="1">
        <v>116</v>
      </c>
      <c r="B117" s="2" t="s">
        <v>355</v>
      </c>
      <c r="C117" s="2" t="s">
        <v>356</v>
      </c>
      <c r="D117" s="2" t="s">
        <v>357</v>
      </c>
      <c r="E117" s="3">
        <v>33853.089599999999</v>
      </c>
      <c r="F117" s="3">
        <v>33864.318899999998</v>
      </c>
      <c r="G117" s="3">
        <v>30</v>
      </c>
      <c r="H117" s="3">
        <v>336.88</v>
      </c>
      <c r="I117" s="3">
        <v>326.07</v>
      </c>
      <c r="J117" s="3">
        <v>0</v>
      </c>
      <c r="K117" s="7">
        <f t="shared" si="2"/>
        <v>10.810000000000002</v>
      </c>
      <c r="L117" s="8">
        <f t="shared" si="3"/>
        <v>3.2088577535027314E-2</v>
      </c>
    </row>
    <row r="118" spans="1:12" x14ac:dyDescent="0.25">
      <c r="A118" s="1">
        <v>117</v>
      </c>
      <c r="B118" s="2" t="s">
        <v>358</v>
      </c>
      <c r="C118" s="2" t="s">
        <v>359</v>
      </c>
      <c r="D118" s="2" t="s">
        <v>360</v>
      </c>
      <c r="E118" s="3">
        <v>21932.290799999999</v>
      </c>
      <c r="F118" s="3">
        <v>21938.864699999998</v>
      </c>
      <c r="G118" s="3">
        <v>50</v>
      </c>
      <c r="H118" s="3">
        <v>328.69</v>
      </c>
      <c r="I118" s="3">
        <v>308.49</v>
      </c>
      <c r="J118" s="3">
        <v>0</v>
      </c>
      <c r="K118" s="7">
        <f t="shared" si="2"/>
        <v>20.199999999999989</v>
      </c>
      <c r="L118" s="8">
        <f t="shared" si="3"/>
        <v>6.1456083239526574E-2</v>
      </c>
    </row>
    <row r="119" spans="1:12" x14ac:dyDescent="0.25">
      <c r="A119" s="1">
        <v>118</v>
      </c>
      <c r="B119" s="2" t="s">
        <v>361</v>
      </c>
      <c r="C119" s="2" t="s">
        <v>362</v>
      </c>
      <c r="D119" s="2" t="s">
        <v>363</v>
      </c>
      <c r="E119" s="3">
        <v>15675.97</v>
      </c>
      <c r="F119" s="3">
        <v>15682.04</v>
      </c>
      <c r="G119" s="3">
        <v>30</v>
      </c>
      <c r="H119" s="3">
        <v>182.1</v>
      </c>
      <c r="I119" s="3">
        <v>280.39</v>
      </c>
      <c r="J119" s="3">
        <v>220.59</v>
      </c>
      <c r="K119" s="7">
        <f t="shared" si="2"/>
        <v>122.30000000000001</v>
      </c>
      <c r="L119" s="8">
        <f t="shared" si="3"/>
        <v>0.30370756661451742</v>
      </c>
    </row>
    <row r="120" spans="1:12" x14ac:dyDescent="0.25">
      <c r="A120" s="1">
        <v>119</v>
      </c>
      <c r="B120" s="2" t="s">
        <v>364</v>
      </c>
      <c r="C120" s="2" t="s">
        <v>365</v>
      </c>
      <c r="D120" s="2" t="s">
        <v>366</v>
      </c>
      <c r="E120" s="3">
        <v>24350.407800000001</v>
      </c>
      <c r="F120" s="3">
        <v>24353.097399999999</v>
      </c>
      <c r="G120" s="3">
        <v>30</v>
      </c>
      <c r="H120" s="3">
        <v>80.69</v>
      </c>
      <c r="I120" s="3">
        <v>63.71</v>
      </c>
      <c r="J120" s="3">
        <v>0</v>
      </c>
      <c r="K120" s="7">
        <f t="shared" si="2"/>
        <v>16.979999999999997</v>
      </c>
      <c r="L120" s="8">
        <f t="shared" si="3"/>
        <v>0.21043499814103356</v>
      </c>
    </row>
    <row r="121" spans="1:12" x14ac:dyDescent="0.25">
      <c r="A121" s="1">
        <v>120</v>
      </c>
      <c r="B121" s="2" t="s">
        <v>367</v>
      </c>
      <c r="C121" s="2" t="s">
        <v>368</v>
      </c>
      <c r="D121" s="2" t="s">
        <v>369</v>
      </c>
      <c r="E121" s="3">
        <v>55495.96</v>
      </c>
      <c r="F121" s="3">
        <v>55510.45</v>
      </c>
      <c r="G121" s="3">
        <v>80</v>
      </c>
      <c r="H121" s="3">
        <v>1159.2</v>
      </c>
      <c r="I121" s="3">
        <v>1135.8499999999999</v>
      </c>
      <c r="J121" s="3">
        <v>96.02</v>
      </c>
      <c r="K121" s="7">
        <f t="shared" si="2"/>
        <v>119.37000000000012</v>
      </c>
      <c r="L121" s="8">
        <f t="shared" si="3"/>
        <v>9.5098867130861617E-2</v>
      </c>
    </row>
    <row r="122" spans="1:12" x14ac:dyDescent="0.25">
      <c r="A122" s="1">
        <v>121</v>
      </c>
      <c r="B122" s="2" t="s">
        <v>370</v>
      </c>
      <c r="C122" s="2" t="s">
        <v>371</v>
      </c>
      <c r="D122" s="2" t="s">
        <v>372</v>
      </c>
      <c r="E122" s="3">
        <v>5571.76</v>
      </c>
      <c r="F122" s="3">
        <v>5573.3</v>
      </c>
      <c r="G122" s="3">
        <v>100</v>
      </c>
      <c r="H122" s="3">
        <v>154</v>
      </c>
      <c r="I122" s="3">
        <v>117.47</v>
      </c>
      <c r="J122" s="3">
        <v>0</v>
      </c>
      <c r="K122" s="7">
        <f t="shared" si="2"/>
        <v>36.53</v>
      </c>
      <c r="L122" s="8">
        <f t="shared" si="3"/>
        <v>0.23720779220779223</v>
      </c>
    </row>
    <row r="123" spans="1:12" x14ac:dyDescent="0.25">
      <c r="A123" s="1">
        <v>122</v>
      </c>
      <c r="B123" s="2" t="s">
        <v>373</v>
      </c>
      <c r="C123" s="2" t="s">
        <v>374</v>
      </c>
      <c r="D123" s="2" t="s">
        <v>375</v>
      </c>
      <c r="E123" s="3">
        <v>43535.77</v>
      </c>
      <c r="F123" s="3">
        <v>43550.98</v>
      </c>
      <c r="G123" s="3">
        <v>50</v>
      </c>
      <c r="H123" s="3">
        <v>760.5</v>
      </c>
      <c r="I123" s="3">
        <v>421.43</v>
      </c>
      <c r="J123" s="3">
        <v>0</v>
      </c>
      <c r="K123" s="7">
        <f t="shared" si="2"/>
        <v>339.07</v>
      </c>
      <c r="L123" s="8">
        <f t="shared" si="3"/>
        <v>0.44585141354372121</v>
      </c>
    </row>
    <row r="124" spans="1:12" x14ac:dyDescent="0.25">
      <c r="A124" s="1">
        <v>123</v>
      </c>
      <c r="B124" s="2" t="s">
        <v>376</v>
      </c>
      <c r="C124" s="2" t="s">
        <v>377</v>
      </c>
      <c r="D124" s="2" t="s">
        <v>378</v>
      </c>
      <c r="E124" s="3">
        <v>41822.497600000002</v>
      </c>
      <c r="F124" s="3">
        <v>41838.801099999997</v>
      </c>
      <c r="G124" s="3">
        <v>30</v>
      </c>
      <c r="H124" s="3">
        <v>489.1</v>
      </c>
      <c r="I124" s="3">
        <v>464.56</v>
      </c>
      <c r="J124" s="3">
        <v>0</v>
      </c>
      <c r="K124" s="7">
        <f t="shared" si="2"/>
        <v>24.54000000000002</v>
      </c>
      <c r="L124" s="8">
        <f t="shared" si="3"/>
        <v>5.0173788591290167E-2</v>
      </c>
    </row>
    <row r="125" spans="1:12" x14ac:dyDescent="0.25">
      <c r="A125" s="1">
        <v>124</v>
      </c>
      <c r="B125" s="2" t="s">
        <v>379</v>
      </c>
      <c r="C125" s="2" t="s">
        <v>380</v>
      </c>
      <c r="D125" s="2" t="s">
        <v>381</v>
      </c>
      <c r="E125" s="3">
        <v>7642.3836000000001</v>
      </c>
      <c r="F125" s="3">
        <v>7648.7773999999999</v>
      </c>
      <c r="G125" s="3">
        <v>30</v>
      </c>
      <c r="H125" s="3">
        <v>191.81</v>
      </c>
      <c r="I125" s="3">
        <v>167.98</v>
      </c>
      <c r="J125" s="3">
        <v>0</v>
      </c>
      <c r="K125" s="7">
        <f t="shared" si="2"/>
        <v>23.830000000000013</v>
      </c>
      <c r="L125" s="8">
        <f t="shared" si="3"/>
        <v>0.12423752671914923</v>
      </c>
    </row>
    <row r="126" spans="1:12" x14ac:dyDescent="0.25">
      <c r="A126" s="1">
        <v>125</v>
      </c>
      <c r="B126" s="2" t="s">
        <v>382</v>
      </c>
      <c r="C126" s="2" t="s">
        <v>383</v>
      </c>
      <c r="D126" s="2" t="s">
        <v>384</v>
      </c>
      <c r="E126" s="3">
        <v>33701.214999999997</v>
      </c>
      <c r="F126" s="3">
        <v>33705.623200000002</v>
      </c>
      <c r="G126" s="3">
        <v>100</v>
      </c>
      <c r="H126" s="3">
        <v>440.82</v>
      </c>
      <c r="I126" s="3">
        <v>427.11</v>
      </c>
      <c r="J126" s="3">
        <v>0</v>
      </c>
      <c r="K126" s="7">
        <f t="shared" si="2"/>
        <v>13.70999999999998</v>
      </c>
      <c r="L126" s="8">
        <f t="shared" si="3"/>
        <v>3.1101129712807901E-2</v>
      </c>
    </row>
    <row r="127" spans="1:12" x14ac:dyDescent="0.25">
      <c r="A127" s="1">
        <v>126</v>
      </c>
      <c r="B127" s="2" t="s">
        <v>385</v>
      </c>
      <c r="C127" s="2" t="s">
        <v>386</v>
      </c>
      <c r="D127" s="2" t="s">
        <v>387</v>
      </c>
      <c r="E127" s="3">
        <v>24788.43</v>
      </c>
      <c r="F127" s="3">
        <v>24792.17</v>
      </c>
      <c r="G127" s="3">
        <v>80</v>
      </c>
      <c r="H127" s="3">
        <v>299.2</v>
      </c>
      <c r="I127" s="3">
        <v>282.05</v>
      </c>
      <c r="J127" s="3">
        <v>0</v>
      </c>
      <c r="K127" s="7">
        <f t="shared" si="2"/>
        <v>17.149999999999977</v>
      </c>
      <c r="L127" s="8">
        <f t="shared" si="3"/>
        <v>5.7319518716577464E-2</v>
      </c>
    </row>
    <row r="128" spans="1:12" x14ac:dyDescent="0.25">
      <c r="A128" s="1">
        <v>127</v>
      </c>
      <c r="B128" s="2" t="s">
        <v>388</v>
      </c>
      <c r="C128" s="2" t="s">
        <v>389</v>
      </c>
      <c r="D128" s="2" t="s">
        <v>390</v>
      </c>
      <c r="E128" s="3">
        <v>40526.089500000002</v>
      </c>
      <c r="F128" s="3">
        <v>40536.166400000002</v>
      </c>
      <c r="G128" s="3">
        <v>50</v>
      </c>
      <c r="H128" s="3">
        <v>503.85</v>
      </c>
      <c r="I128" s="3">
        <v>473.3</v>
      </c>
      <c r="J128" s="3">
        <v>0</v>
      </c>
      <c r="K128" s="7">
        <f t="shared" si="2"/>
        <v>30.550000000000011</v>
      </c>
      <c r="L128" s="8">
        <f t="shared" si="3"/>
        <v>6.0633124937977595E-2</v>
      </c>
    </row>
    <row r="129" spans="1:12" x14ac:dyDescent="0.25">
      <c r="A129" s="1">
        <v>128</v>
      </c>
      <c r="B129" s="2" t="s">
        <v>391</v>
      </c>
      <c r="C129" s="2" t="s">
        <v>392</v>
      </c>
      <c r="D129" s="2" t="s">
        <v>393</v>
      </c>
      <c r="E129" s="3">
        <v>3056.5576000000001</v>
      </c>
      <c r="F129" s="3">
        <v>3057.8946000000001</v>
      </c>
      <c r="G129" s="3">
        <v>80</v>
      </c>
      <c r="H129" s="3">
        <v>106.96</v>
      </c>
      <c r="I129" s="3">
        <v>85.03</v>
      </c>
      <c r="J129" s="3">
        <v>0</v>
      </c>
      <c r="K129" s="7">
        <f t="shared" si="2"/>
        <v>21.929999999999993</v>
      </c>
      <c r="L129" s="8">
        <f t="shared" si="3"/>
        <v>0.20502991772625276</v>
      </c>
    </row>
    <row r="130" spans="1:12" x14ac:dyDescent="0.25">
      <c r="A130" s="1">
        <v>129</v>
      </c>
      <c r="B130" s="2" t="s">
        <v>394</v>
      </c>
      <c r="C130" s="2" t="s">
        <v>395</v>
      </c>
      <c r="D130" s="2" t="s">
        <v>396</v>
      </c>
      <c r="E130" s="3">
        <v>12499.9378</v>
      </c>
      <c r="F130" s="3">
        <v>12502.0368</v>
      </c>
      <c r="G130" s="3">
        <v>80</v>
      </c>
      <c r="H130" s="3">
        <v>167.92</v>
      </c>
      <c r="I130" s="3">
        <v>165.81</v>
      </c>
      <c r="J130" s="3">
        <v>0</v>
      </c>
      <c r="K130" s="7">
        <f t="shared" si="2"/>
        <v>2.1099999999999852</v>
      </c>
      <c r="L130" s="8">
        <f t="shared" si="3"/>
        <v>1.2565507384468707E-2</v>
      </c>
    </row>
    <row r="131" spans="1:12" x14ac:dyDescent="0.25">
      <c r="A131" s="1">
        <v>130</v>
      </c>
      <c r="B131" s="2" t="s">
        <v>397</v>
      </c>
      <c r="C131" s="2" t="s">
        <v>398</v>
      </c>
      <c r="D131" s="2" t="s">
        <v>399</v>
      </c>
      <c r="E131" s="3">
        <v>2351.54</v>
      </c>
      <c r="F131" s="3">
        <v>2352.12</v>
      </c>
      <c r="G131" s="3">
        <v>80</v>
      </c>
      <c r="H131" s="3">
        <v>46.4</v>
      </c>
      <c r="I131" s="3">
        <v>44.09</v>
      </c>
      <c r="J131" s="3">
        <v>0</v>
      </c>
      <c r="K131" s="7">
        <f t="shared" ref="K131:K194" si="4">(H131+J131)-I131</f>
        <v>2.3099999999999952</v>
      </c>
      <c r="L131" s="8">
        <f t="shared" ref="L131:L194" si="5">K131/(H131+J131)</f>
        <v>4.9784482758620588E-2</v>
      </c>
    </row>
    <row r="132" spans="1:12" x14ac:dyDescent="0.25">
      <c r="A132" s="1">
        <v>131</v>
      </c>
      <c r="B132" s="2" t="s">
        <v>400</v>
      </c>
      <c r="C132" s="2" t="s">
        <v>401</v>
      </c>
      <c r="D132" s="2" t="s">
        <v>402</v>
      </c>
      <c r="E132" s="3">
        <v>15878.78</v>
      </c>
      <c r="F132" s="3">
        <v>15878.81</v>
      </c>
      <c r="G132" s="3">
        <v>80</v>
      </c>
      <c r="H132" s="3">
        <v>2.4</v>
      </c>
      <c r="I132" s="3">
        <v>0.82</v>
      </c>
      <c r="J132" s="3">
        <v>0</v>
      </c>
      <c r="K132" s="7">
        <f t="shared" si="4"/>
        <v>1.58</v>
      </c>
      <c r="L132" s="8">
        <f t="shared" si="5"/>
        <v>0.65833333333333344</v>
      </c>
    </row>
    <row r="133" spans="1:12" x14ac:dyDescent="0.25">
      <c r="A133" s="1">
        <v>132</v>
      </c>
      <c r="B133" s="2" t="s">
        <v>403</v>
      </c>
      <c r="C133" s="2" t="s">
        <v>404</v>
      </c>
      <c r="D133" s="2" t="s">
        <v>405</v>
      </c>
      <c r="E133" s="3">
        <v>49756.9</v>
      </c>
      <c r="F133" s="3">
        <v>49778.23</v>
      </c>
      <c r="G133" s="3">
        <v>30</v>
      </c>
      <c r="H133" s="3">
        <v>639.9</v>
      </c>
      <c r="I133" s="3">
        <v>654.73</v>
      </c>
      <c r="J133" s="3">
        <v>0</v>
      </c>
      <c r="K133" s="7">
        <f t="shared" si="4"/>
        <v>-14.830000000000041</v>
      </c>
      <c r="L133" s="8">
        <f t="shared" si="5"/>
        <v>-2.3175496171276826E-2</v>
      </c>
    </row>
    <row r="134" spans="1:12" x14ac:dyDescent="0.25">
      <c r="A134" s="1">
        <v>133</v>
      </c>
      <c r="B134" s="2" t="s">
        <v>406</v>
      </c>
      <c r="C134" s="2" t="s">
        <v>407</v>
      </c>
      <c r="D134" s="2" t="s">
        <v>408</v>
      </c>
      <c r="E134" s="3">
        <v>2251.2836000000002</v>
      </c>
      <c r="F134" s="3">
        <v>2254.0261999999998</v>
      </c>
      <c r="G134" s="3">
        <v>30</v>
      </c>
      <c r="H134" s="3">
        <v>82.28</v>
      </c>
      <c r="I134" s="3">
        <v>112.66</v>
      </c>
      <c r="J134" s="3">
        <v>49.16</v>
      </c>
      <c r="K134" s="7">
        <f t="shared" si="4"/>
        <v>18.78</v>
      </c>
      <c r="L134" s="8">
        <f t="shared" si="5"/>
        <v>0.14287888009738284</v>
      </c>
    </row>
    <row r="135" spans="1:12" x14ac:dyDescent="0.25">
      <c r="A135" s="1">
        <v>134</v>
      </c>
      <c r="B135" s="2" t="s">
        <v>409</v>
      </c>
      <c r="C135" s="2" t="s">
        <v>410</v>
      </c>
      <c r="D135" s="2" t="s">
        <v>411</v>
      </c>
      <c r="E135" s="3">
        <v>85682.240000000005</v>
      </c>
      <c r="F135" s="3">
        <v>85702.91</v>
      </c>
      <c r="G135" s="3">
        <v>50</v>
      </c>
      <c r="H135" s="3">
        <v>1033.5</v>
      </c>
      <c r="I135" s="3">
        <v>1107.79</v>
      </c>
      <c r="J135" s="3">
        <v>124.62</v>
      </c>
      <c r="K135" s="7">
        <f t="shared" si="4"/>
        <v>50.329999999999927</v>
      </c>
      <c r="L135" s="8">
        <f t="shared" si="5"/>
        <v>4.345836355472657E-2</v>
      </c>
    </row>
    <row r="136" spans="1:12" x14ac:dyDescent="0.25">
      <c r="A136" s="1">
        <v>135</v>
      </c>
      <c r="B136" s="2" t="s">
        <v>412</v>
      </c>
      <c r="C136" s="2" t="s">
        <v>413</v>
      </c>
      <c r="D136" s="2" t="s">
        <v>414</v>
      </c>
      <c r="E136" s="3">
        <v>5737.3130000000001</v>
      </c>
      <c r="F136" s="3">
        <v>5746.8846000000003</v>
      </c>
      <c r="G136" s="3">
        <v>30</v>
      </c>
      <c r="H136" s="3">
        <v>287.14999999999998</v>
      </c>
      <c r="I136" s="3">
        <v>276.56</v>
      </c>
      <c r="J136" s="3">
        <v>0</v>
      </c>
      <c r="K136" s="7">
        <f t="shared" si="4"/>
        <v>10.589999999999975</v>
      </c>
      <c r="L136" s="8">
        <f t="shared" si="5"/>
        <v>3.6879679609959866E-2</v>
      </c>
    </row>
    <row r="137" spans="1:12" x14ac:dyDescent="0.25">
      <c r="A137" s="1">
        <v>136</v>
      </c>
      <c r="B137" s="2" t="s">
        <v>415</v>
      </c>
      <c r="C137" s="2" t="s">
        <v>416</v>
      </c>
      <c r="D137" s="2" t="s">
        <v>417</v>
      </c>
      <c r="E137" s="3">
        <v>38510.480000000003</v>
      </c>
      <c r="F137" s="3">
        <v>38519.519999999997</v>
      </c>
      <c r="G137" s="3">
        <v>80</v>
      </c>
      <c r="H137" s="3">
        <v>723.2</v>
      </c>
      <c r="I137" s="3">
        <v>640.04999999999995</v>
      </c>
      <c r="J137" s="3">
        <v>0</v>
      </c>
      <c r="K137" s="7">
        <f t="shared" si="4"/>
        <v>83.150000000000091</v>
      </c>
      <c r="L137" s="8">
        <f t="shared" si="5"/>
        <v>0.11497511061946915</v>
      </c>
    </row>
    <row r="138" spans="1:12" x14ac:dyDescent="0.25">
      <c r="A138" s="1">
        <v>137</v>
      </c>
      <c r="B138" s="2" t="s">
        <v>418</v>
      </c>
      <c r="C138" s="2" t="s">
        <v>419</v>
      </c>
      <c r="D138" s="2" t="s">
        <v>420</v>
      </c>
      <c r="E138" s="3">
        <v>21696.720000000001</v>
      </c>
      <c r="F138" s="3">
        <v>21700.17</v>
      </c>
      <c r="G138" s="3">
        <v>80</v>
      </c>
      <c r="H138" s="3">
        <v>276</v>
      </c>
      <c r="I138" s="3">
        <v>223.07</v>
      </c>
      <c r="J138" s="3">
        <v>0</v>
      </c>
      <c r="K138" s="7">
        <f t="shared" si="4"/>
        <v>52.930000000000007</v>
      </c>
      <c r="L138" s="8">
        <f t="shared" si="5"/>
        <v>0.1917753623188406</v>
      </c>
    </row>
    <row r="139" spans="1:12" x14ac:dyDescent="0.25">
      <c r="A139" s="1">
        <v>138</v>
      </c>
      <c r="B139" s="2" t="s">
        <v>421</v>
      </c>
      <c r="C139" s="2" t="s">
        <v>422</v>
      </c>
      <c r="D139" s="2" t="s">
        <v>423</v>
      </c>
      <c r="E139" s="3">
        <v>11086.418600000001</v>
      </c>
      <c r="F139" s="3">
        <v>11091.500599999999</v>
      </c>
      <c r="G139" s="3">
        <v>80</v>
      </c>
      <c r="H139" s="3">
        <v>406.56</v>
      </c>
      <c r="I139" s="3">
        <v>373.45</v>
      </c>
      <c r="J139" s="3">
        <v>0</v>
      </c>
      <c r="K139" s="7">
        <f t="shared" si="4"/>
        <v>33.110000000000014</v>
      </c>
      <c r="L139" s="8">
        <f t="shared" si="5"/>
        <v>8.1439393939393978E-2</v>
      </c>
    </row>
    <row r="140" spans="1:12" x14ac:dyDescent="0.25">
      <c r="A140" s="1">
        <v>139</v>
      </c>
      <c r="B140" s="2" t="s">
        <v>424</v>
      </c>
      <c r="C140" s="2" t="s">
        <v>425</v>
      </c>
      <c r="D140" s="2" t="s">
        <v>426</v>
      </c>
      <c r="E140" s="3">
        <v>6382.6409999999996</v>
      </c>
      <c r="F140" s="3">
        <v>6385.9975999999997</v>
      </c>
      <c r="G140" s="3">
        <v>80</v>
      </c>
      <c r="H140" s="3">
        <v>268.52999999999997</v>
      </c>
      <c r="I140" s="3">
        <v>260.89</v>
      </c>
      <c r="J140" s="3">
        <v>0</v>
      </c>
      <c r="K140" s="7">
        <f t="shared" si="4"/>
        <v>7.6399999999999864</v>
      </c>
      <c r="L140" s="8">
        <f t="shared" si="5"/>
        <v>2.8451197259151628E-2</v>
      </c>
    </row>
    <row r="141" spans="1:12" x14ac:dyDescent="0.25">
      <c r="A141" s="1">
        <v>140</v>
      </c>
      <c r="B141" s="2" t="s">
        <v>427</v>
      </c>
      <c r="C141" s="2" t="s">
        <v>428</v>
      </c>
      <c r="D141" s="2" t="s">
        <v>429</v>
      </c>
      <c r="E141" s="3">
        <v>72178.91</v>
      </c>
      <c r="F141" s="3">
        <v>72197.98</v>
      </c>
      <c r="G141" s="3">
        <v>50</v>
      </c>
      <c r="H141" s="3">
        <v>953.5</v>
      </c>
      <c r="I141" s="3">
        <v>826.38</v>
      </c>
      <c r="J141" s="3">
        <v>80.97</v>
      </c>
      <c r="K141" s="7">
        <f t="shared" si="4"/>
        <v>208.09000000000003</v>
      </c>
      <c r="L141" s="8">
        <f t="shared" si="5"/>
        <v>0.20115614759248701</v>
      </c>
    </row>
    <row r="142" spans="1:12" x14ac:dyDescent="0.25">
      <c r="A142" s="1">
        <v>141</v>
      </c>
      <c r="B142" s="2" t="s">
        <v>430</v>
      </c>
      <c r="C142" s="2" t="s">
        <v>431</v>
      </c>
      <c r="D142" s="2" t="s">
        <v>432</v>
      </c>
      <c r="E142" s="3">
        <v>11975.4494</v>
      </c>
      <c r="F142" s="3">
        <v>11986.5326</v>
      </c>
      <c r="G142" s="3">
        <v>80</v>
      </c>
      <c r="H142" s="3">
        <v>886.66</v>
      </c>
      <c r="I142" s="3">
        <v>866.01</v>
      </c>
      <c r="J142" s="3">
        <v>0</v>
      </c>
      <c r="K142" s="7">
        <f t="shared" si="4"/>
        <v>20.649999999999977</v>
      </c>
      <c r="L142" s="8">
        <f t="shared" si="5"/>
        <v>2.3289648794351813E-2</v>
      </c>
    </row>
    <row r="143" spans="1:12" x14ac:dyDescent="0.25">
      <c r="A143" s="1">
        <v>142</v>
      </c>
      <c r="B143" s="2" t="s">
        <v>433</v>
      </c>
      <c r="C143" s="2" t="s">
        <v>434</v>
      </c>
      <c r="D143" s="2" t="s">
        <v>435</v>
      </c>
      <c r="E143" s="3">
        <v>48907.75</v>
      </c>
      <c r="F143" s="3">
        <v>48929.24</v>
      </c>
      <c r="G143" s="3">
        <v>50</v>
      </c>
      <c r="H143" s="3">
        <v>1074.5</v>
      </c>
      <c r="I143" s="3">
        <v>1669.54</v>
      </c>
      <c r="J143" s="3">
        <v>147.44999999999999</v>
      </c>
      <c r="K143" s="7">
        <f t="shared" si="4"/>
        <v>-447.58999999999992</v>
      </c>
      <c r="L143" s="8">
        <f t="shared" si="5"/>
        <v>-0.36629158312533239</v>
      </c>
    </row>
    <row r="144" spans="1:12" x14ac:dyDescent="0.25">
      <c r="A144" s="1">
        <v>143</v>
      </c>
      <c r="B144" s="2" t="s">
        <v>436</v>
      </c>
      <c r="C144" s="2" t="s">
        <v>437</v>
      </c>
      <c r="D144" s="2" t="s">
        <v>438</v>
      </c>
      <c r="E144" s="3">
        <v>2401.6383999999998</v>
      </c>
      <c r="F144" s="3">
        <v>2402.2703999999999</v>
      </c>
      <c r="G144" s="3">
        <v>30</v>
      </c>
      <c r="H144" s="3">
        <v>18.96</v>
      </c>
      <c r="I144" s="3">
        <v>18.420000000000002</v>
      </c>
      <c r="J144" s="3">
        <v>0</v>
      </c>
      <c r="K144" s="7">
        <f t="shared" si="4"/>
        <v>0.53999999999999915</v>
      </c>
      <c r="L144" s="8">
        <f t="shared" si="5"/>
        <v>2.8481012658227802E-2</v>
      </c>
    </row>
    <row r="145" spans="1:12" x14ac:dyDescent="0.25">
      <c r="A145" s="1">
        <v>144</v>
      </c>
      <c r="B145" s="2" t="s">
        <v>439</v>
      </c>
      <c r="C145" s="2" t="s">
        <v>440</v>
      </c>
      <c r="D145" s="2" t="s">
        <v>441</v>
      </c>
      <c r="E145" s="3">
        <v>15105.0388</v>
      </c>
      <c r="F145" s="3">
        <v>15124.219800000001</v>
      </c>
      <c r="G145" s="3">
        <v>30</v>
      </c>
      <c r="H145" s="3">
        <v>575.42999999999995</v>
      </c>
      <c r="I145" s="3">
        <v>528.14</v>
      </c>
      <c r="J145" s="3">
        <v>0</v>
      </c>
      <c r="K145" s="7">
        <f t="shared" si="4"/>
        <v>47.289999999999964</v>
      </c>
      <c r="L145" s="8">
        <f t="shared" si="5"/>
        <v>8.2182020402134001E-2</v>
      </c>
    </row>
    <row r="146" spans="1:12" x14ac:dyDescent="0.25">
      <c r="A146" s="1">
        <v>145</v>
      </c>
      <c r="B146" s="2" t="s">
        <v>442</v>
      </c>
      <c r="C146" s="2" t="s">
        <v>443</v>
      </c>
      <c r="D146" s="2" t="s">
        <v>444</v>
      </c>
      <c r="E146" s="3">
        <v>50516.18</v>
      </c>
      <c r="F146" s="3">
        <v>50528.33</v>
      </c>
      <c r="G146" s="3">
        <v>80</v>
      </c>
      <c r="H146" s="3">
        <v>972</v>
      </c>
      <c r="I146" s="3">
        <v>1010.28</v>
      </c>
      <c r="J146" s="3">
        <v>0</v>
      </c>
      <c r="K146" s="7">
        <f t="shared" si="4"/>
        <v>-38.279999999999973</v>
      </c>
      <c r="L146" s="8">
        <f t="shared" si="5"/>
        <v>-3.9382716049382691E-2</v>
      </c>
    </row>
    <row r="147" spans="1:12" x14ac:dyDescent="0.25">
      <c r="A147" s="1">
        <v>146</v>
      </c>
      <c r="B147" s="2" t="s">
        <v>445</v>
      </c>
      <c r="C147" s="2" t="s">
        <v>446</v>
      </c>
      <c r="D147" s="2" t="s">
        <v>447</v>
      </c>
      <c r="E147" s="3">
        <v>62415.89</v>
      </c>
      <c r="F147" s="3">
        <v>62436.75</v>
      </c>
      <c r="G147" s="3">
        <v>30</v>
      </c>
      <c r="H147" s="3">
        <v>625.79999999999995</v>
      </c>
      <c r="I147" s="3">
        <v>583.04</v>
      </c>
      <c r="J147" s="3">
        <v>0</v>
      </c>
      <c r="K147" s="7">
        <f t="shared" si="4"/>
        <v>42.759999999999991</v>
      </c>
      <c r="L147" s="8">
        <f t="shared" si="5"/>
        <v>6.832853946947906E-2</v>
      </c>
    </row>
    <row r="148" spans="1:12" x14ac:dyDescent="0.25">
      <c r="A148" s="1">
        <v>147</v>
      </c>
      <c r="B148" s="2" t="s">
        <v>448</v>
      </c>
      <c r="C148" s="2" t="s">
        <v>449</v>
      </c>
      <c r="D148" s="2" t="s">
        <v>450</v>
      </c>
      <c r="E148" s="3">
        <v>42082.69</v>
      </c>
      <c r="F148" s="3">
        <v>42091.38</v>
      </c>
      <c r="G148" s="3">
        <v>80</v>
      </c>
      <c r="H148" s="3">
        <v>695.2</v>
      </c>
      <c r="I148" s="3">
        <v>554.61</v>
      </c>
      <c r="J148" s="3">
        <v>0</v>
      </c>
      <c r="K148" s="7">
        <f t="shared" si="4"/>
        <v>140.59000000000003</v>
      </c>
      <c r="L148" s="8">
        <f t="shared" si="5"/>
        <v>0.20222957422324514</v>
      </c>
    </row>
    <row r="149" spans="1:12" x14ac:dyDescent="0.25">
      <c r="A149" s="1">
        <v>148</v>
      </c>
      <c r="B149" s="2" t="s">
        <v>451</v>
      </c>
      <c r="C149" s="2" t="s">
        <v>452</v>
      </c>
      <c r="D149" s="2" t="s">
        <v>453</v>
      </c>
      <c r="E149" s="3">
        <v>60267.420700000002</v>
      </c>
      <c r="F149" s="3">
        <v>60284.669300000001</v>
      </c>
      <c r="G149" s="3">
        <v>80</v>
      </c>
      <c r="H149" s="3">
        <v>1379.89</v>
      </c>
      <c r="I149" s="3">
        <v>1381.56</v>
      </c>
      <c r="J149" s="3">
        <v>38.08</v>
      </c>
      <c r="K149" s="7">
        <f t="shared" si="4"/>
        <v>36.410000000000082</v>
      </c>
      <c r="L149" s="8">
        <f t="shared" si="5"/>
        <v>2.5677553121716313E-2</v>
      </c>
    </row>
    <row r="150" spans="1:12" x14ac:dyDescent="0.25">
      <c r="A150" s="1">
        <v>149</v>
      </c>
      <c r="B150" s="2" t="s">
        <v>454</v>
      </c>
      <c r="C150" s="2" t="s">
        <v>455</v>
      </c>
      <c r="D150" s="2" t="s">
        <v>456</v>
      </c>
      <c r="E150" s="3">
        <v>6049.1036000000004</v>
      </c>
      <c r="F150" s="3">
        <v>6057.223</v>
      </c>
      <c r="G150" s="3">
        <v>50</v>
      </c>
      <c r="H150" s="3">
        <v>405.97</v>
      </c>
      <c r="I150" s="3">
        <v>393.54</v>
      </c>
      <c r="J150" s="3">
        <v>0</v>
      </c>
      <c r="K150" s="7">
        <f t="shared" si="4"/>
        <v>12.430000000000007</v>
      </c>
      <c r="L150" s="8">
        <f t="shared" si="5"/>
        <v>3.0618025962509558E-2</v>
      </c>
    </row>
    <row r="151" spans="1:12" x14ac:dyDescent="0.25">
      <c r="A151" s="1">
        <v>150</v>
      </c>
      <c r="B151" s="2" t="s">
        <v>457</v>
      </c>
      <c r="C151" s="2" t="s">
        <v>458</v>
      </c>
      <c r="D151" s="2" t="s">
        <v>459</v>
      </c>
      <c r="E151" s="3">
        <v>3820.5823999999998</v>
      </c>
      <c r="F151" s="3">
        <v>3840.6026000000002</v>
      </c>
      <c r="G151" s="3">
        <v>80</v>
      </c>
      <c r="H151" s="3">
        <v>1601.62</v>
      </c>
      <c r="I151" s="3">
        <v>1595.92</v>
      </c>
      <c r="J151" s="3">
        <v>124.89</v>
      </c>
      <c r="K151" s="7">
        <f t="shared" si="4"/>
        <v>130.58999999999992</v>
      </c>
      <c r="L151" s="8">
        <f t="shared" si="5"/>
        <v>7.5638137051045121E-2</v>
      </c>
    </row>
    <row r="152" spans="1:12" x14ac:dyDescent="0.25">
      <c r="A152" s="1">
        <v>151</v>
      </c>
      <c r="B152" s="2" t="s">
        <v>460</v>
      </c>
      <c r="C152" s="2" t="s">
        <v>461</v>
      </c>
      <c r="D152" s="2" t="s">
        <v>462</v>
      </c>
      <c r="E152" s="3">
        <v>55822.137300000002</v>
      </c>
      <c r="F152" s="3">
        <v>55836.951000000001</v>
      </c>
      <c r="G152" s="3">
        <v>50</v>
      </c>
      <c r="H152" s="3">
        <v>740.68</v>
      </c>
      <c r="I152" s="3">
        <v>827.51</v>
      </c>
      <c r="J152" s="3">
        <v>0</v>
      </c>
      <c r="K152" s="7">
        <f t="shared" si="4"/>
        <v>-86.830000000000041</v>
      </c>
      <c r="L152" s="8">
        <f t="shared" si="5"/>
        <v>-0.11723011286925535</v>
      </c>
    </row>
    <row r="153" spans="1:12" x14ac:dyDescent="0.25">
      <c r="A153" s="1">
        <v>152</v>
      </c>
      <c r="B153" s="2" t="s">
        <v>463</v>
      </c>
      <c r="C153" s="2" t="s">
        <v>464</v>
      </c>
      <c r="D153" s="2" t="s">
        <v>465</v>
      </c>
      <c r="E153" s="3">
        <v>19892.785400000001</v>
      </c>
      <c r="F153" s="3">
        <v>19902.6096</v>
      </c>
      <c r="G153" s="3">
        <v>50</v>
      </c>
      <c r="H153" s="3">
        <v>491.21</v>
      </c>
      <c r="I153" s="3">
        <v>474.76</v>
      </c>
      <c r="J153" s="3">
        <v>0</v>
      </c>
      <c r="K153" s="7">
        <f t="shared" si="4"/>
        <v>16.449999999999989</v>
      </c>
      <c r="L153" s="8">
        <f t="shared" si="5"/>
        <v>3.3488731906923697E-2</v>
      </c>
    </row>
    <row r="154" spans="1:12" x14ac:dyDescent="0.25">
      <c r="A154" s="1">
        <v>153</v>
      </c>
      <c r="B154" s="2" t="s">
        <v>466</v>
      </c>
      <c r="C154" s="2" t="s">
        <v>467</v>
      </c>
      <c r="D154" s="2" t="s">
        <v>468</v>
      </c>
      <c r="E154" s="3">
        <v>19059.852999999999</v>
      </c>
      <c r="F154" s="3">
        <v>19081.132799999999</v>
      </c>
      <c r="G154" s="3">
        <v>15</v>
      </c>
      <c r="H154" s="3">
        <v>319.2</v>
      </c>
      <c r="I154" s="3">
        <v>312.25</v>
      </c>
      <c r="J154" s="3">
        <v>0</v>
      </c>
      <c r="K154" s="7">
        <f t="shared" si="4"/>
        <v>6.9499999999999886</v>
      </c>
      <c r="L154" s="8">
        <f t="shared" si="5"/>
        <v>2.1773182957393448E-2</v>
      </c>
    </row>
    <row r="155" spans="1:12" x14ac:dyDescent="0.25">
      <c r="A155" s="1">
        <v>154</v>
      </c>
      <c r="B155" s="2" t="s">
        <v>469</v>
      </c>
      <c r="C155" s="2" t="s">
        <v>470</v>
      </c>
      <c r="D155" s="2" t="s">
        <v>471</v>
      </c>
      <c r="E155" s="3">
        <v>8402.3518000000004</v>
      </c>
      <c r="F155" s="3">
        <v>8409.1108000000004</v>
      </c>
      <c r="G155" s="3">
        <v>30</v>
      </c>
      <c r="H155" s="3">
        <v>202.77</v>
      </c>
      <c r="I155" s="3">
        <v>194.36</v>
      </c>
      <c r="J155" s="3">
        <v>0</v>
      </c>
      <c r="K155" s="7">
        <f t="shared" si="4"/>
        <v>8.4099999999999966</v>
      </c>
      <c r="L155" s="8">
        <f t="shared" si="5"/>
        <v>4.1475563446269154E-2</v>
      </c>
    </row>
    <row r="156" spans="1:12" x14ac:dyDescent="0.25">
      <c r="A156" s="1">
        <v>155</v>
      </c>
      <c r="B156" s="2" t="s">
        <v>472</v>
      </c>
      <c r="C156" s="2" t="s">
        <v>473</v>
      </c>
      <c r="D156" s="2" t="s">
        <v>474</v>
      </c>
      <c r="E156" s="3">
        <v>9827.19</v>
      </c>
      <c r="F156" s="3">
        <v>9829.32</v>
      </c>
      <c r="G156" s="3">
        <v>80</v>
      </c>
      <c r="H156" s="3">
        <v>170.4</v>
      </c>
      <c r="I156" s="3">
        <v>186.46</v>
      </c>
      <c r="J156" s="3">
        <v>15.75</v>
      </c>
      <c r="K156" s="7">
        <f t="shared" si="4"/>
        <v>-0.31000000000000227</v>
      </c>
      <c r="L156" s="8">
        <f t="shared" si="5"/>
        <v>-1.6653236637120723E-3</v>
      </c>
    </row>
    <row r="157" spans="1:12" x14ac:dyDescent="0.25">
      <c r="A157" s="1">
        <v>156</v>
      </c>
      <c r="B157" s="2" t="s">
        <v>475</v>
      </c>
      <c r="C157" s="2" t="s">
        <v>476</v>
      </c>
      <c r="D157" s="2" t="s">
        <v>477</v>
      </c>
      <c r="E157" s="3">
        <v>6745.0436</v>
      </c>
      <c r="F157" s="3">
        <v>6749.6166000000003</v>
      </c>
      <c r="G157" s="3">
        <v>80</v>
      </c>
      <c r="H157" s="3">
        <v>365.84</v>
      </c>
      <c r="I157" s="3">
        <v>352.52</v>
      </c>
      <c r="J157" s="3">
        <v>0</v>
      </c>
      <c r="K157" s="7">
        <f t="shared" si="4"/>
        <v>13.319999999999993</v>
      </c>
      <c r="L157" s="8">
        <f t="shared" si="5"/>
        <v>3.6409359282746537E-2</v>
      </c>
    </row>
    <row r="158" spans="1:12" x14ac:dyDescent="0.25">
      <c r="A158" s="1">
        <v>157</v>
      </c>
      <c r="B158" s="2" t="s">
        <v>478</v>
      </c>
      <c r="C158" s="2" t="s">
        <v>479</v>
      </c>
      <c r="D158" s="2" t="s">
        <v>480</v>
      </c>
      <c r="E158" s="3">
        <v>33065.35</v>
      </c>
      <c r="F158" s="3">
        <v>33078.019999999997</v>
      </c>
      <c r="G158" s="3">
        <v>30</v>
      </c>
      <c r="H158" s="3">
        <v>380.1</v>
      </c>
      <c r="I158" s="3">
        <v>369.96</v>
      </c>
      <c r="J158" s="3">
        <v>0</v>
      </c>
      <c r="K158" s="7">
        <f t="shared" si="4"/>
        <v>10.140000000000043</v>
      </c>
      <c r="L158" s="8">
        <f t="shared" si="5"/>
        <v>2.6677190213101928E-2</v>
      </c>
    </row>
    <row r="159" spans="1:12" x14ac:dyDescent="0.25">
      <c r="A159" s="1">
        <v>158</v>
      </c>
      <c r="B159" s="2" t="s">
        <v>481</v>
      </c>
      <c r="C159" s="2" t="s">
        <v>482</v>
      </c>
      <c r="D159" s="2" t="s">
        <v>483</v>
      </c>
      <c r="E159" s="3">
        <v>10169.323200000001</v>
      </c>
      <c r="F159" s="3">
        <v>10180.6178</v>
      </c>
      <c r="G159" s="3">
        <v>30</v>
      </c>
      <c r="H159" s="3">
        <v>338.84</v>
      </c>
      <c r="I159" s="3">
        <v>327.76</v>
      </c>
      <c r="J159" s="3">
        <v>0</v>
      </c>
      <c r="K159" s="7">
        <f t="shared" si="4"/>
        <v>11.079999999999984</v>
      </c>
      <c r="L159" s="8">
        <f t="shared" si="5"/>
        <v>3.2699799315311015E-2</v>
      </c>
    </row>
    <row r="160" spans="1:12" x14ac:dyDescent="0.25">
      <c r="A160" s="1">
        <v>159</v>
      </c>
      <c r="B160" s="2" t="s">
        <v>484</v>
      </c>
      <c r="C160" s="2" t="s">
        <v>485</v>
      </c>
      <c r="D160" s="2" t="s">
        <v>486</v>
      </c>
      <c r="E160" s="3">
        <v>24153.61</v>
      </c>
      <c r="F160" s="3">
        <v>24160.720000000001</v>
      </c>
      <c r="G160" s="3">
        <v>80</v>
      </c>
      <c r="H160" s="3">
        <v>568.79999999999995</v>
      </c>
      <c r="I160" s="3">
        <v>550.25</v>
      </c>
      <c r="J160" s="3">
        <v>0</v>
      </c>
      <c r="K160" s="7">
        <f t="shared" si="4"/>
        <v>18.549999999999955</v>
      </c>
      <c r="L160" s="8">
        <f t="shared" si="5"/>
        <v>3.2612517580871934E-2</v>
      </c>
    </row>
    <row r="161" spans="1:12" x14ac:dyDescent="0.25">
      <c r="A161" s="1">
        <v>160</v>
      </c>
      <c r="B161" s="2" t="s">
        <v>487</v>
      </c>
      <c r="C161" s="2" t="s">
        <v>488</v>
      </c>
      <c r="D161" s="2" t="s">
        <v>489</v>
      </c>
      <c r="E161" s="3">
        <v>7322.8516</v>
      </c>
      <c r="F161" s="3">
        <v>7324.9805999999999</v>
      </c>
      <c r="G161" s="3">
        <v>15</v>
      </c>
      <c r="H161" s="3">
        <v>31.93</v>
      </c>
      <c r="I161" s="3">
        <v>25.74</v>
      </c>
      <c r="J161" s="3">
        <v>0</v>
      </c>
      <c r="K161" s="7">
        <f t="shared" si="4"/>
        <v>6.1900000000000013</v>
      </c>
      <c r="L161" s="8">
        <f t="shared" si="5"/>
        <v>0.19386157218916383</v>
      </c>
    </row>
    <row r="162" spans="1:12" x14ac:dyDescent="0.25">
      <c r="A162" s="1">
        <v>161</v>
      </c>
      <c r="B162" s="2" t="s">
        <v>490</v>
      </c>
      <c r="C162" s="2" t="s">
        <v>491</v>
      </c>
      <c r="D162" s="2" t="s">
        <v>492</v>
      </c>
      <c r="E162" s="3">
        <v>6151.8037999999997</v>
      </c>
      <c r="F162" s="3">
        <v>6156.2338</v>
      </c>
      <c r="G162" s="3">
        <v>30</v>
      </c>
      <c r="H162" s="3">
        <v>132.9</v>
      </c>
      <c r="I162" s="3">
        <v>128.75</v>
      </c>
      <c r="J162" s="3">
        <v>0</v>
      </c>
      <c r="K162" s="7">
        <f t="shared" si="4"/>
        <v>4.1500000000000057</v>
      </c>
      <c r="L162" s="8">
        <f t="shared" si="5"/>
        <v>3.1226486079759259E-2</v>
      </c>
    </row>
    <row r="163" spans="1:12" x14ac:dyDescent="0.25">
      <c r="A163" s="1">
        <v>162</v>
      </c>
      <c r="B163" s="2" t="s">
        <v>493</v>
      </c>
      <c r="C163" s="2" t="s">
        <v>494</v>
      </c>
      <c r="D163" s="2" t="s">
        <v>495</v>
      </c>
      <c r="E163" s="3">
        <v>6885.1126000000004</v>
      </c>
      <c r="F163" s="3">
        <v>6892.8786</v>
      </c>
      <c r="G163" s="3">
        <v>30</v>
      </c>
      <c r="H163" s="3">
        <v>232.98</v>
      </c>
      <c r="I163" s="3">
        <v>286.95999999999998</v>
      </c>
      <c r="J163" s="3">
        <v>0</v>
      </c>
      <c r="K163" s="7">
        <f t="shared" si="4"/>
        <v>-53.97999999999999</v>
      </c>
      <c r="L163" s="8">
        <f t="shared" si="5"/>
        <v>-0.23169370761438746</v>
      </c>
    </row>
    <row r="164" spans="1:12" x14ac:dyDescent="0.25">
      <c r="A164" s="1">
        <v>163</v>
      </c>
      <c r="B164" s="2" t="s">
        <v>496</v>
      </c>
      <c r="C164" s="2" t="s">
        <v>497</v>
      </c>
      <c r="D164" s="2" t="s">
        <v>498</v>
      </c>
      <c r="E164" s="3">
        <v>20475.919999999998</v>
      </c>
      <c r="F164" s="3">
        <v>20479.79</v>
      </c>
      <c r="G164" s="3">
        <v>80</v>
      </c>
      <c r="H164" s="3">
        <v>309.60000000000002</v>
      </c>
      <c r="I164" s="3">
        <v>279.89</v>
      </c>
      <c r="J164" s="3">
        <v>0</v>
      </c>
      <c r="K164" s="7">
        <f t="shared" si="4"/>
        <v>29.710000000000036</v>
      </c>
      <c r="L164" s="8">
        <f t="shared" si="5"/>
        <v>9.5962532299741707E-2</v>
      </c>
    </row>
    <row r="165" spans="1:12" x14ac:dyDescent="0.25">
      <c r="A165" s="1">
        <v>164</v>
      </c>
      <c r="B165" s="2" t="s">
        <v>499</v>
      </c>
      <c r="C165" s="2" t="s">
        <v>500</v>
      </c>
      <c r="D165" s="2" t="s">
        <v>501</v>
      </c>
      <c r="E165" s="3">
        <v>4439.9341999999997</v>
      </c>
      <c r="F165" s="3">
        <v>4442.2313999999997</v>
      </c>
      <c r="G165" s="3">
        <v>80</v>
      </c>
      <c r="H165" s="3">
        <v>183.78</v>
      </c>
      <c r="I165" s="3">
        <v>176.85</v>
      </c>
      <c r="J165" s="3">
        <v>0</v>
      </c>
      <c r="K165" s="7">
        <f t="shared" si="4"/>
        <v>6.9300000000000068</v>
      </c>
      <c r="L165" s="8">
        <f t="shared" si="5"/>
        <v>3.7708129285014727E-2</v>
      </c>
    </row>
    <row r="166" spans="1:12" x14ac:dyDescent="0.25">
      <c r="A166" s="1">
        <v>165</v>
      </c>
      <c r="B166" s="2" t="s">
        <v>502</v>
      </c>
      <c r="C166" s="2" t="s">
        <v>503</v>
      </c>
      <c r="D166" s="2" t="s">
        <v>504</v>
      </c>
      <c r="E166" s="3">
        <v>4084.6869999999999</v>
      </c>
      <c r="F166" s="3">
        <v>4086.8062</v>
      </c>
      <c r="G166" s="3">
        <v>80</v>
      </c>
      <c r="H166" s="3">
        <v>169.54</v>
      </c>
      <c r="I166" s="3">
        <v>167.34</v>
      </c>
      <c r="J166" s="3">
        <v>0</v>
      </c>
      <c r="K166" s="7">
        <f t="shared" si="4"/>
        <v>2.1999999999999886</v>
      </c>
      <c r="L166" s="8">
        <f t="shared" si="5"/>
        <v>1.2976288781408451E-2</v>
      </c>
    </row>
    <row r="167" spans="1:12" x14ac:dyDescent="0.25">
      <c r="A167" s="1">
        <v>166</v>
      </c>
      <c r="B167" s="2" t="s">
        <v>505</v>
      </c>
      <c r="C167" s="2" t="s">
        <v>506</v>
      </c>
      <c r="D167" s="2" t="s">
        <v>507</v>
      </c>
      <c r="E167" s="3">
        <v>3918.7202000000002</v>
      </c>
      <c r="F167" s="3">
        <v>3924.3108000000002</v>
      </c>
      <c r="G167" s="3">
        <v>80</v>
      </c>
      <c r="H167" s="3">
        <v>447.25</v>
      </c>
      <c r="I167" s="3">
        <v>429.34</v>
      </c>
      <c r="J167" s="3">
        <v>0</v>
      </c>
      <c r="K167" s="7">
        <f t="shared" si="4"/>
        <v>17.910000000000025</v>
      </c>
      <c r="L167" s="8">
        <f t="shared" si="5"/>
        <v>4.0044717719396369E-2</v>
      </c>
    </row>
    <row r="168" spans="1:12" x14ac:dyDescent="0.25">
      <c r="A168" s="1">
        <v>167</v>
      </c>
      <c r="B168" s="2" t="s">
        <v>508</v>
      </c>
      <c r="C168" s="2" t="s">
        <v>509</v>
      </c>
      <c r="D168" s="2" t="s">
        <v>510</v>
      </c>
      <c r="E168" s="3">
        <v>25851.148799999999</v>
      </c>
      <c r="F168" s="3">
        <v>25861.550200000001</v>
      </c>
      <c r="G168" s="3">
        <v>80</v>
      </c>
      <c r="H168" s="3">
        <v>832.11</v>
      </c>
      <c r="I168" s="3">
        <v>1143.8399999999999</v>
      </c>
      <c r="J168" s="3">
        <v>365.3</v>
      </c>
      <c r="K168" s="7">
        <f t="shared" si="4"/>
        <v>53.570000000000164</v>
      </c>
      <c r="L168" s="8">
        <f t="shared" si="5"/>
        <v>4.4738226672568424E-2</v>
      </c>
    </row>
    <row r="169" spans="1:12" x14ac:dyDescent="0.25">
      <c r="A169" s="1">
        <v>168</v>
      </c>
      <c r="B169" s="2" t="s">
        <v>511</v>
      </c>
      <c r="C169" s="2" t="s">
        <v>512</v>
      </c>
      <c r="D169" s="2" t="s">
        <v>513</v>
      </c>
      <c r="E169" s="3">
        <v>5923.0353999999998</v>
      </c>
      <c r="F169" s="3">
        <v>5927.8681999999999</v>
      </c>
      <c r="G169" s="3">
        <v>80</v>
      </c>
      <c r="H169" s="3">
        <v>386.62</v>
      </c>
      <c r="I169" s="3">
        <v>369.61</v>
      </c>
      <c r="J169" s="3">
        <v>0</v>
      </c>
      <c r="K169" s="7">
        <f t="shared" si="4"/>
        <v>17.009999999999991</v>
      </c>
      <c r="L169" s="8">
        <f t="shared" si="5"/>
        <v>4.399668925559979E-2</v>
      </c>
    </row>
    <row r="170" spans="1:12" x14ac:dyDescent="0.25">
      <c r="A170" s="1">
        <v>169</v>
      </c>
      <c r="B170" s="2" t="s">
        <v>514</v>
      </c>
      <c r="C170" s="2" t="s">
        <v>515</v>
      </c>
      <c r="D170" s="2" t="s">
        <v>516</v>
      </c>
      <c r="E170" s="3">
        <v>43774.139000000003</v>
      </c>
      <c r="F170" s="3">
        <v>43785.262799999997</v>
      </c>
      <c r="G170" s="3">
        <v>80</v>
      </c>
      <c r="H170" s="3">
        <v>889.9</v>
      </c>
      <c r="I170" s="3">
        <v>1071.69</v>
      </c>
      <c r="J170" s="3">
        <v>163.13999999999999</v>
      </c>
      <c r="K170" s="7">
        <f t="shared" si="4"/>
        <v>-18.650000000000091</v>
      </c>
      <c r="L170" s="8">
        <f t="shared" si="5"/>
        <v>-1.771062827622891E-2</v>
      </c>
    </row>
    <row r="171" spans="1:12" x14ac:dyDescent="0.25">
      <c r="A171" s="1">
        <v>170</v>
      </c>
      <c r="B171" s="2" t="s">
        <v>517</v>
      </c>
      <c r="C171" s="2" t="s">
        <v>518</v>
      </c>
      <c r="D171" s="2" t="s">
        <v>519</v>
      </c>
      <c r="E171" s="3">
        <v>12724.099200000001</v>
      </c>
      <c r="F171" s="3">
        <v>12735.751399999999</v>
      </c>
      <c r="G171" s="3">
        <v>30</v>
      </c>
      <c r="H171" s="3">
        <v>349.57</v>
      </c>
      <c r="I171" s="3">
        <v>337.59</v>
      </c>
      <c r="J171" s="3">
        <v>0</v>
      </c>
      <c r="K171" s="7">
        <f t="shared" si="4"/>
        <v>11.980000000000018</v>
      </c>
      <c r="L171" s="8">
        <f t="shared" si="5"/>
        <v>3.4270675401207248E-2</v>
      </c>
    </row>
    <row r="172" spans="1:12" x14ac:dyDescent="0.25">
      <c r="A172" s="1">
        <v>171</v>
      </c>
      <c r="B172" s="2" t="s">
        <v>520</v>
      </c>
      <c r="C172" s="2" t="s">
        <v>521</v>
      </c>
      <c r="D172" s="2" t="s">
        <v>522</v>
      </c>
      <c r="E172" s="3">
        <v>25541.7948</v>
      </c>
      <c r="F172" s="3">
        <v>25555.017800000001</v>
      </c>
      <c r="G172" s="3">
        <v>80</v>
      </c>
      <c r="H172" s="3">
        <v>1057.8399999999999</v>
      </c>
      <c r="I172" s="3">
        <v>1139.8599999999999</v>
      </c>
      <c r="J172" s="3">
        <v>126.13</v>
      </c>
      <c r="K172" s="7">
        <f t="shared" si="4"/>
        <v>44.1099999999999</v>
      </c>
      <c r="L172" s="8">
        <f t="shared" si="5"/>
        <v>3.7256011554346741E-2</v>
      </c>
    </row>
    <row r="173" spans="1:12" x14ac:dyDescent="0.25">
      <c r="A173" s="1">
        <v>172</v>
      </c>
      <c r="B173" s="2" t="s">
        <v>523</v>
      </c>
      <c r="C173" s="2" t="s">
        <v>524</v>
      </c>
      <c r="D173" s="2" t="s">
        <v>525</v>
      </c>
      <c r="E173" s="3">
        <v>11030.1538</v>
      </c>
      <c r="F173" s="3">
        <v>11041.142599999999</v>
      </c>
      <c r="G173" s="3">
        <v>80</v>
      </c>
      <c r="H173" s="3">
        <v>879.1</v>
      </c>
      <c r="I173" s="3">
        <v>854.76</v>
      </c>
      <c r="J173" s="3">
        <v>0</v>
      </c>
      <c r="K173" s="7">
        <f t="shared" si="4"/>
        <v>24.340000000000032</v>
      </c>
      <c r="L173" s="8">
        <f t="shared" si="5"/>
        <v>2.7687407575929964E-2</v>
      </c>
    </row>
    <row r="174" spans="1:12" x14ac:dyDescent="0.25">
      <c r="A174" s="1">
        <v>173</v>
      </c>
      <c r="B174" s="2" t="s">
        <v>526</v>
      </c>
      <c r="C174" s="2" t="s">
        <v>527</v>
      </c>
      <c r="D174" s="2" t="s">
        <v>528</v>
      </c>
      <c r="E174" s="3">
        <v>6316.3526000000002</v>
      </c>
      <c r="F174" s="3">
        <v>6328.2290000000003</v>
      </c>
      <c r="G174" s="3">
        <v>80</v>
      </c>
      <c r="H174" s="3">
        <v>950.11</v>
      </c>
      <c r="I174" s="3">
        <v>908.22</v>
      </c>
      <c r="J174" s="3">
        <v>1.83</v>
      </c>
      <c r="K174" s="7">
        <f t="shared" si="4"/>
        <v>43.720000000000027</v>
      </c>
      <c r="L174" s="8">
        <f t="shared" si="5"/>
        <v>4.5927264323381754E-2</v>
      </c>
    </row>
    <row r="175" spans="1:12" x14ac:dyDescent="0.25">
      <c r="A175" s="1">
        <v>174</v>
      </c>
      <c r="B175" s="2" t="s">
        <v>529</v>
      </c>
      <c r="C175" s="2" t="s">
        <v>530</v>
      </c>
      <c r="D175" s="2" t="s">
        <v>531</v>
      </c>
      <c r="E175" s="3">
        <v>7861.8105999999998</v>
      </c>
      <c r="F175" s="3">
        <v>7865.5515999999998</v>
      </c>
      <c r="G175" s="3">
        <v>80</v>
      </c>
      <c r="H175" s="3">
        <v>299.27999999999997</v>
      </c>
      <c r="I175" s="3">
        <v>283.56</v>
      </c>
      <c r="J175" s="3">
        <v>0</v>
      </c>
      <c r="K175" s="7">
        <f t="shared" si="4"/>
        <v>15.71999999999997</v>
      </c>
      <c r="L175" s="8">
        <f t="shared" si="5"/>
        <v>5.2526062550120198E-2</v>
      </c>
    </row>
    <row r="176" spans="1:12" x14ac:dyDescent="0.25">
      <c r="A176" s="1">
        <v>175</v>
      </c>
      <c r="B176" s="2" t="s">
        <v>532</v>
      </c>
      <c r="C176" s="2" t="s">
        <v>533</v>
      </c>
      <c r="D176" s="2" t="s">
        <v>534</v>
      </c>
      <c r="E176" s="3">
        <v>6669.4538000000002</v>
      </c>
      <c r="F176" s="3">
        <v>6675.9528</v>
      </c>
      <c r="G176" s="3">
        <v>50</v>
      </c>
      <c r="H176" s="3">
        <v>324.95</v>
      </c>
      <c r="I176" s="3">
        <v>315.01</v>
      </c>
      <c r="J176" s="3">
        <v>0</v>
      </c>
      <c r="K176" s="7">
        <f t="shared" si="4"/>
        <v>9.9399999999999977</v>
      </c>
      <c r="L176" s="8">
        <f t="shared" si="5"/>
        <v>3.0589321434066775E-2</v>
      </c>
    </row>
    <row r="177" spans="1:12" x14ac:dyDescent="0.25">
      <c r="A177" s="1">
        <v>176</v>
      </c>
      <c r="B177" s="2" t="s">
        <v>535</v>
      </c>
      <c r="C177" s="2" t="s">
        <v>536</v>
      </c>
      <c r="D177" s="2" t="s">
        <v>537</v>
      </c>
      <c r="E177" s="3">
        <v>3768.2503999999999</v>
      </c>
      <c r="F177" s="3">
        <v>3770.6783999999998</v>
      </c>
      <c r="G177" s="3">
        <v>50</v>
      </c>
      <c r="H177" s="3">
        <v>121.4</v>
      </c>
      <c r="I177" s="3">
        <v>117.8</v>
      </c>
      <c r="J177" s="3">
        <v>0</v>
      </c>
      <c r="K177" s="7">
        <f t="shared" si="4"/>
        <v>3.6000000000000085</v>
      </c>
      <c r="L177" s="8">
        <f t="shared" si="5"/>
        <v>2.9654036243822145E-2</v>
      </c>
    </row>
    <row r="178" spans="1:12" x14ac:dyDescent="0.25">
      <c r="A178" s="1">
        <v>177</v>
      </c>
      <c r="B178" s="2" t="s">
        <v>538</v>
      </c>
      <c r="C178" s="2" t="s">
        <v>539</v>
      </c>
      <c r="D178" s="2" t="s">
        <v>540</v>
      </c>
      <c r="E178" s="3">
        <v>4216.6361999999999</v>
      </c>
      <c r="F178" s="3">
        <v>4222.0036</v>
      </c>
      <c r="G178" s="3">
        <v>50</v>
      </c>
      <c r="H178" s="3">
        <v>268.37</v>
      </c>
      <c r="I178" s="3">
        <v>257.07</v>
      </c>
      <c r="J178" s="3">
        <v>0</v>
      </c>
      <c r="K178" s="7">
        <f t="shared" si="4"/>
        <v>11.300000000000011</v>
      </c>
      <c r="L178" s="8">
        <f t="shared" si="5"/>
        <v>4.210604762082204E-2</v>
      </c>
    </row>
    <row r="179" spans="1:12" x14ac:dyDescent="0.25">
      <c r="A179" s="1">
        <v>178</v>
      </c>
      <c r="B179" s="2" t="s">
        <v>541</v>
      </c>
      <c r="C179" s="2" t="s">
        <v>542</v>
      </c>
      <c r="D179" s="2" t="s">
        <v>543</v>
      </c>
      <c r="E179" s="3">
        <v>30081.880300000001</v>
      </c>
      <c r="F179" s="3">
        <v>30096.077799999999</v>
      </c>
      <c r="G179" s="3">
        <v>30</v>
      </c>
      <c r="H179" s="3">
        <v>425.92</v>
      </c>
      <c r="I179" s="3">
        <v>534.03</v>
      </c>
      <c r="J179" s="3">
        <v>132.19</v>
      </c>
      <c r="K179" s="7">
        <f t="shared" si="4"/>
        <v>24.080000000000041</v>
      </c>
      <c r="L179" s="8">
        <f t="shared" si="5"/>
        <v>4.3145616455537508E-2</v>
      </c>
    </row>
    <row r="180" spans="1:12" x14ac:dyDescent="0.25">
      <c r="A180" s="1">
        <v>179</v>
      </c>
      <c r="B180" s="2" t="s">
        <v>544</v>
      </c>
      <c r="C180" s="2" t="s">
        <v>545</v>
      </c>
      <c r="D180" s="2" t="s">
        <v>546</v>
      </c>
      <c r="E180" s="3">
        <v>22155.231800000001</v>
      </c>
      <c r="F180" s="3">
        <v>22168.784599999999</v>
      </c>
      <c r="G180" s="3">
        <v>50</v>
      </c>
      <c r="H180" s="3">
        <v>677.64</v>
      </c>
      <c r="I180" s="3">
        <v>662.95</v>
      </c>
      <c r="J180" s="3">
        <v>0</v>
      </c>
      <c r="K180" s="7">
        <f t="shared" si="4"/>
        <v>14.689999999999941</v>
      </c>
      <c r="L180" s="8">
        <f t="shared" si="5"/>
        <v>2.1678177203234669E-2</v>
      </c>
    </row>
    <row r="181" spans="1:12" x14ac:dyDescent="0.25">
      <c r="A181" s="1">
        <v>180</v>
      </c>
      <c r="B181" s="2" t="s">
        <v>547</v>
      </c>
      <c r="C181" s="2" t="s">
        <v>548</v>
      </c>
      <c r="D181" s="2" t="s">
        <v>549</v>
      </c>
      <c r="E181" s="3">
        <v>19743.866399999999</v>
      </c>
      <c r="F181" s="3">
        <v>19752.828799999999</v>
      </c>
      <c r="G181" s="3">
        <v>30</v>
      </c>
      <c r="H181" s="3">
        <v>268.87</v>
      </c>
      <c r="I181" s="3">
        <v>256.41000000000003</v>
      </c>
      <c r="J181" s="3">
        <v>0</v>
      </c>
      <c r="K181" s="7">
        <f t="shared" si="4"/>
        <v>12.45999999999998</v>
      </c>
      <c r="L181" s="8">
        <f t="shared" si="5"/>
        <v>4.6342098411871833E-2</v>
      </c>
    </row>
    <row r="182" spans="1:12" x14ac:dyDescent="0.25">
      <c r="A182" s="1">
        <v>181</v>
      </c>
      <c r="B182" s="2" t="s">
        <v>550</v>
      </c>
      <c r="C182" s="2" t="s">
        <v>551</v>
      </c>
      <c r="D182" s="2" t="s">
        <v>552</v>
      </c>
      <c r="E182" s="3">
        <v>11266.7868</v>
      </c>
      <c r="F182" s="3">
        <v>11280.058199999999</v>
      </c>
      <c r="G182" s="3">
        <v>50</v>
      </c>
      <c r="H182" s="3">
        <v>663.57</v>
      </c>
      <c r="I182" s="3">
        <v>603.44000000000005</v>
      </c>
      <c r="J182" s="3">
        <v>0</v>
      </c>
      <c r="K182" s="7">
        <f t="shared" si="4"/>
        <v>60.129999999999995</v>
      </c>
      <c r="L182" s="8">
        <f t="shared" si="5"/>
        <v>9.06159109061591E-2</v>
      </c>
    </row>
    <row r="183" spans="1:12" x14ac:dyDescent="0.25">
      <c r="A183" s="1">
        <v>182</v>
      </c>
      <c r="B183" s="2" t="s">
        <v>553</v>
      </c>
      <c r="C183" s="2" t="s">
        <v>554</v>
      </c>
      <c r="D183" s="2" t="s">
        <v>555</v>
      </c>
      <c r="E183" s="3">
        <v>3032.1289999999999</v>
      </c>
      <c r="F183" s="3">
        <v>3037.1201999999998</v>
      </c>
      <c r="G183" s="3">
        <v>50</v>
      </c>
      <c r="H183" s="3">
        <v>249.56</v>
      </c>
      <c r="I183" s="3">
        <v>237.43</v>
      </c>
      <c r="J183" s="3">
        <v>0</v>
      </c>
      <c r="K183" s="7">
        <f t="shared" si="4"/>
        <v>12.129999999999995</v>
      </c>
      <c r="L183" s="8">
        <f t="shared" si="5"/>
        <v>4.8605545760538528E-2</v>
      </c>
    </row>
    <row r="184" spans="1:12" x14ac:dyDescent="0.25">
      <c r="A184" s="1">
        <v>183</v>
      </c>
      <c r="B184" s="2" t="s">
        <v>556</v>
      </c>
      <c r="C184" s="2" t="s">
        <v>557</v>
      </c>
      <c r="D184" s="2" t="s">
        <v>558</v>
      </c>
      <c r="E184" s="3">
        <v>15967.7068</v>
      </c>
      <c r="F184" s="3">
        <v>15990.5702</v>
      </c>
      <c r="G184" s="3">
        <v>50</v>
      </c>
      <c r="H184" s="3">
        <v>1143.17</v>
      </c>
      <c r="I184" s="3">
        <v>1086.77</v>
      </c>
      <c r="J184" s="3">
        <v>0</v>
      </c>
      <c r="K184" s="7">
        <f t="shared" si="4"/>
        <v>56.400000000000091</v>
      </c>
      <c r="L184" s="8">
        <f t="shared" si="5"/>
        <v>4.9336494134730693E-2</v>
      </c>
    </row>
    <row r="185" spans="1:12" x14ac:dyDescent="0.25">
      <c r="A185" s="1">
        <v>184</v>
      </c>
      <c r="B185" s="2" t="s">
        <v>559</v>
      </c>
      <c r="C185" s="2" t="s">
        <v>560</v>
      </c>
      <c r="D185" s="2" t="s">
        <v>561</v>
      </c>
      <c r="E185" s="3">
        <v>7830.0784000000003</v>
      </c>
      <c r="F185" s="3">
        <v>7843.0496000000003</v>
      </c>
      <c r="G185" s="3">
        <v>80</v>
      </c>
      <c r="H185" s="3">
        <v>1037.7</v>
      </c>
      <c r="I185" s="3">
        <v>970.56</v>
      </c>
      <c r="J185" s="3">
        <v>76.19</v>
      </c>
      <c r="K185" s="7">
        <f t="shared" si="4"/>
        <v>143.33000000000015</v>
      </c>
      <c r="L185" s="8">
        <f t="shared" si="5"/>
        <v>0.12867518336640077</v>
      </c>
    </row>
    <row r="186" spans="1:12" x14ac:dyDescent="0.25">
      <c r="A186" s="1">
        <v>185</v>
      </c>
      <c r="B186" s="2" t="s">
        <v>562</v>
      </c>
      <c r="C186" s="2" t="s">
        <v>563</v>
      </c>
      <c r="D186" s="2" t="s">
        <v>564</v>
      </c>
      <c r="E186" s="3">
        <v>9587.6689999999999</v>
      </c>
      <c r="F186" s="3">
        <v>9600.8762000000006</v>
      </c>
      <c r="G186" s="3">
        <v>80</v>
      </c>
      <c r="H186" s="3">
        <v>1056.58</v>
      </c>
      <c r="I186" s="3">
        <v>886.13</v>
      </c>
      <c r="J186" s="3">
        <v>10.54</v>
      </c>
      <c r="K186" s="7">
        <f t="shared" si="4"/>
        <v>180.9899999999999</v>
      </c>
      <c r="L186" s="8">
        <f t="shared" si="5"/>
        <v>0.16960604243196634</v>
      </c>
    </row>
    <row r="187" spans="1:12" x14ac:dyDescent="0.25">
      <c r="A187" s="1">
        <v>186</v>
      </c>
      <c r="B187" s="2" t="s">
        <v>565</v>
      </c>
      <c r="C187" s="2" t="s">
        <v>566</v>
      </c>
      <c r="D187" s="2" t="s">
        <v>567</v>
      </c>
      <c r="E187" s="3">
        <v>7793.3760000000002</v>
      </c>
      <c r="F187" s="3">
        <v>7798.3696</v>
      </c>
      <c r="G187" s="3">
        <v>50</v>
      </c>
      <c r="H187" s="3">
        <v>249.68</v>
      </c>
      <c r="I187" s="3">
        <v>208.06</v>
      </c>
      <c r="J187" s="3">
        <v>0</v>
      </c>
      <c r="K187" s="7">
        <f t="shared" si="4"/>
        <v>41.620000000000005</v>
      </c>
      <c r="L187" s="8">
        <f t="shared" si="5"/>
        <v>0.16669336751041333</v>
      </c>
    </row>
    <row r="188" spans="1:12" x14ac:dyDescent="0.25">
      <c r="A188" s="1">
        <v>187</v>
      </c>
      <c r="B188" s="2" t="s">
        <v>568</v>
      </c>
      <c r="C188" s="2" t="s">
        <v>569</v>
      </c>
      <c r="D188" s="2" t="s">
        <v>570</v>
      </c>
      <c r="E188" s="3">
        <v>6738.3703999999998</v>
      </c>
      <c r="F188" s="3">
        <v>6740.6279999999997</v>
      </c>
      <c r="G188" s="3">
        <v>50</v>
      </c>
      <c r="H188" s="3">
        <v>112.88</v>
      </c>
      <c r="I188" s="3">
        <v>109.77</v>
      </c>
      <c r="J188" s="3">
        <v>0</v>
      </c>
      <c r="K188" s="7">
        <f t="shared" si="4"/>
        <v>3.1099999999999994</v>
      </c>
      <c r="L188" s="8">
        <f t="shared" si="5"/>
        <v>2.755138199858256E-2</v>
      </c>
    </row>
    <row r="189" spans="1:12" x14ac:dyDescent="0.25">
      <c r="A189" s="1">
        <v>188</v>
      </c>
      <c r="B189" s="2" t="s">
        <v>571</v>
      </c>
      <c r="C189" s="2" t="s">
        <v>572</v>
      </c>
      <c r="D189" s="2" t="s">
        <v>573</v>
      </c>
      <c r="E189" s="3">
        <v>3763.6678000000002</v>
      </c>
      <c r="F189" s="3">
        <v>3766.6628000000001</v>
      </c>
      <c r="G189" s="3">
        <v>50</v>
      </c>
      <c r="H189" s="3">
        <v>149.75</v>
      </c>
      <c r="I189" s="3">
        <v>144.79</v>
      </c>
      <c r="J189" s="3">
        <v>0</v>
      </c>
      <c r="K189" s="7">
        <f t="shared" si="4"/>
        <v>4.960000000000008</v>
      </c>
      <c r="L189" s="8">
        <f t="shared" si="5"/>
        <v>3.3121869782971672E-2</v>
      </c>
    </row>
    <row r="190" spans="1:12" x14ac:dyDescent="0.25">
      <c r="A190" s="1">
        <v>189</v>
      </c>
      <c r="B190" s="2" t="s">
        <v>574</v>
      </c>
      <c r="C190" s="2" t="s">
        <v>575</v>
      </c>
      <c r="D190" s="2" t="s">
        <v>576</v>
      </c>
      <c r="E190" s="3">
        <v>2034.8624</v>
      </c>
      <c r="F190" s="3">
        <v>2036.0308</v>
      </c>
      <c r="G190" s="3">
        <v>80</v>
      </c>
      <c r="H190" s="3">
        <v>93.47</v>
      </c>
      <c r="I190" s="3">
        <v>91.01</v>
      </c>
      <c r="J190" s="3">
        <v>0</v>
      </c>
      <c r="K190" s="7">
        <f t="shared" si="4"/>
        <v>2.4599999999999937</v>
      </c>
      <c r="L190" s="8">
        <f t="shared" si="5"/>
        <v>2.6318604899967839E-2</v>
      </c>
    </row>
    <row r="191" spans="1:12" x14ac:dyDescent="0.25">
      <c r="A191" s="1">
        <v>190</v>
      </c>
      <c r="B191" s="2" t="s">
        <v>577</v>
      </c>
      <c r="C191" s="2" t="s">
        <v>578</v>
      </c>
      <c r="D191" s="2" t="s">
        <v>579</v>
      </c>
      <c r="E191" s="3">
        <v>5517.9462000000003</v>
      </c>
      <c r="F191" s="3">
        <v>5526.1081999999997</v>
      </c>
      <c r="G191" s="3">
        <v>50</v>
      </c>
      <c r="H191" s="3">
        <v>408.1</v>
      </c>
      <c r="I191" s="3">
        <v>395.75</v>
      </c>
      <c r="J191" s="3">
        <v>0</v>
      </c>
      <c r="K191" s="7">
        <f t="shared" si="4"/>
        <v>12.350000000000023</v>
      </c>
      <c r="L191" s="8">
        <f t="shared" si="5"/>
        <v>3.0262190639549186E-2</v>
      </c>
    </row>
    <row r="192" spans="1:12" x14ac:dyDescent="0.25">
      <c r="A192" s="1">
        <v>191</v>
      </c>
      <c r="B192" s="2" t="s">
        <v>580</v>
      </c>
      <c r="C192" s="2" t="s">
        <v>581</v>
      </c>
      <c r="D192" s="2" t="s">
        <v>582</v>
      </c>
      <c r="E192" s="3">
        <v>4453.4463999999998</v>
      </c>
      <c r="F192" s="3">
        <v>4457.9584000000004</v>
      </c>
      <c r="G192" s="3">
        <v>50</v>
      </c>
      <c r="H192" s="3">
        <v>225.6</v>
      </c>
      <c r="I192" s="3">
        <v>174.83</v>
      </c>
      <c r="J192" s="3">
        <v>0</v>
      </c>
      <c r="K192" s="7">
        <f t="shared" si="4"/>
        <v>50.769999999999982</v>
      </c>
      <c r="L192" s="8">
        <f t="shared" si="5"/>
        <v>0.22504432624113468</v>
      </c>
    </row>
    <row r="193" spans="1:12" x14ac:dyDescent="0.25">
      <c r="A193" s="1">
        <v>192</v>
      </c>
      <c r="B193" s="2" t="s">
        <v>583</v>
      </c>
      <c r="C193" s="2" t="s">
        <v>584</v>
      </c>
      <c r="D193" s="2" t="s">
        <v>585</v>
      </c>
      <c r="E193" s="3">
        <v>35086.44</v>
      </c>
      <c r="F193" s="3">
        <v>35106.660000000003</v>
      </c>
      <c r="G193" s="3">
        <v>30</v>
      </c>
      <c r="H193" s="3">
        <v>606.6</v>
      </c>
      <c r="I193" s="3">
        <v>595.25</v>
      </c>
      <c r="J193" s="3">
        <v>0</v>
      </c>
      <c r="K193" s="7">
        <f t="shared" si="4"/>
        <v>11.350000000000023</v>
      </c>
      <c r="L193" s="8">
        <f t="shared" si="5"/>
        <v>1.871084734586222E-2</v>
      </c>
    </row>
    <row r="194" spans="1:12" x14ac:dyDescent="0.25">
      <c r="A194" s="1">
        <v>193</v>
      </c>
      <c r="B194" s="2" t="s">
        <v>586</v>
      </c>
      <c r="C194" s="2" t="s">
        <v>587</v>
      </c>
      <c r="D194" s="2" t="s">
        <v>588</v>
      </c>
      <c r="E194" s="3">
        <v>21328.448100000001</v>
      </c>
      <c r="F194" s="3">
        <v>21342.694599999999</v>
      </c>
      <c r="G194" s="3">
        <v>50</v>
      </c>
      <c r="H194" s="3">
        <v>712.32</v>
      </c>
      <c r="I194" s="3">
        <v>680.94</v>
      </c>
      <c r="J194" s="3">
        <v>0</v>
      </c>
      <c r="K194" s="7">
        <f t="shared" si="4"/>
        <v>31.379999999999995</v>
      </c>
      <c r="L194" s="8">
        <f t="shared" si="5"/>
        <v>4.4053234501347696E-2</v>
      </c>
    </row>
    <row r="195" spans="1:12" x14ac:dyDescent="0.25">
      <c r="A195" s="1">
        <v>194</v>
      </c>
      <c r="B195" s="2" t="s">
        <v>589</v>
      </c>
      <c r="C195" s="2" t="s">
        <v>590</v>
      </c>
      <c r="D195" s="2" t="s">
        <v>591</v>
      </c>
      <c r="E195" s="3">
        <v>21394.912199999999</v>
      </c>
      <c r="F195" s="3">
        <v>21407.442299999999</v>
      </c>
      <c r="G195" s="3">
        <v>50</v>
      </c>
      <c r="H195" s="3">
        <v>626.5</v>
      </c>
      <c r="I195" s="3">
        <v>535.44000000000005</v>
      </c>
      <c r="J195" s="3">
        <v>0</v>
      </c>
      <c r="K195" s="7">
        <f t="shared" ref="K195:K238" si="6">(H195+J195)-I195</f>
        <v>91.059999999999945</v>
      </c>
      <c r="L195" s="8">
        <f t="shared" ref="L195:L238" si="7">K195/(H195+J195)</f>
        <v>0.14534716679968068</v>
      </c>
    </row>
    <row r="196" spans="1:12" x14ac:dyDescent="0.25">
      <c r="A196" s="1">
        <v>195</v>
      </c>
      <c r="B196" s="2" t="s">
        <v>592</v>
      </c>
      <c r="C196" s="2" t="s">
        <v>593</v>
      </c>
      <c r="D196" s="2" t="s">
        <v>594</v>
      </c>
      <c r="E196" s="3">
        <v>2630.8231999999998</v>
      </c>
      <c r="F196" s="3">
        <v>2634.1122</v>
      </c>
      <c r="G196" s="3">
        <v>80</v>
      </c>
      <c r="H196" s="3">
        <v>263.12</v>
      </c>
      <c r="I196" s="3">
        <v>258.41000000000003</v>
      </c>
      <c r="J196" s="3">
        <v>0</v>
      </c>
      <c r="K196" s="7">
        <f t="shared" si="6"/>
        <v>4.7099999999999795</v>
      </c>
      <c r="L196" s="8">
        <f t="shared" si="7"/>
        <v>1.79005776831863E-2</v>
      </c>
    </row>
    <row r="197" spans="1:12" x14ac:dyDescent="0.25">
      <c r="A197" s="1">
        <v>196</v>
      </c>
      <c r="B197" s="2" t="s">
        <v>595</v>
      </c>
      <c r="C197" s="2" t="s">
        <v>596</v>
      </c>
      <c r="D197" s="2" t="s">
        <v>597</v>
      </c>
      <c r="E197" s="3">
        <v>4149.3822</v>
      </c>
      <c r="F197" s="3">
        <v>4151.7731999999996</v>
      </c>
      <c r="G197" s="3">
        <v>50</v>
      </c>
      <c r="H197" s="3">
        <v>119.55</v>
      </c>
      <c r="I197" s="3">
        <v>112.34</v>
      </c>
      <c r="J197" s="3">
        <v>0</v>
      </c>
      <c r="K197" s="7">
        <f t="shared" si="6"/>
        <v>7.2099999999999937</v>
      </c>
      <c r="L197" s="8">
        <f t="shared" si="7"/>
        <v>6.0309493935591749E-2</v>
      </c>
    </row>
    <row r="198" spans="1:12" x14ac:dyDescent="0.25">
      <c r="A198" s="1">
        <v>197</v>
      </c>
      <c r="B198" s="2" t="s">
        <v>598</v>
      </c>
      <c r="C198" s="2" t="s">
        <v>599</v>
      </c>
      <c r="D198" s="2" t="s">
        <v>600</v>
      </c>
      <c r="E198" s="3">
        <v>6973.3365999999996</v>
      </c>
      <c r="F198" s="3">
        <v>6979.9841999999999</v>
      </c>
      <c r="G198" s="3">
        <v>80</v>
      </c>
      <c r="H198" s="3">
        <v>531.80999999999995</v>
      </c>
      <c r="I198" s="3">
        <v>511.44</v>
      </c>
      <c r="J198" s="3">
        <v>0</v>
      </c>
      <c r="K198" s="7">
        <f t="shared" si="6"/>
        <v>20.369999999999948</v>
      </c>
      <c r="L198" s="8">
        <f t="shared" si="7"/>
        <v>3.8303153381846804E-2</v>
      </c>
    </row>
    <row r="199" spans="1:12" x14ac:dyDescent="0.25">
      <c r="A199" s="1">
        <v>198</v>
      </c>
      <c r="B199" s="2" t="s">
        <v>601</v>
      </c>
      <c r="C199" s="2" t="s">
        <v>602</v>
      </c>
      <c r="D199" s="2" t="s">
        <v>603</v>
      </c>
      <c r="E199" s="3">
        <v>6742.7803999999996</v>
      </c>
      <c r="F199" s="3">
        <v>6751.0154000000002</v>
      </c>
      <c r="G199" s="3">
        <v>50</v>
      </c>
      <c r="H199" s="3">
        <v>411.75</v>
      </c>
      <c r="I199" s="3">
        <v>392.61</v>
      </c>
      <c r="J199" s="3">
        <v>0</v>
      </c>
      <c r="K199" s="7">
        <f t="shared" si="6"/>
        <v>19.139999999999986</v>
      </c>
      <c r="L199" s="8">
        <f t="shared" si="7"/>
        <v>4.6484517304189399E-2</v>
      </c>
    </row>
    <row r="200" spans="1:12" x14ac:dyDescent="0.25">
      <c r="A200" s="1">
        <v>199</v>
      </c>
      <c r="B200" s="2" t="s">
        <v>604</v>
      </c>
      <c r="C200" s="2" t="s">
        <v>605</v>
      </c>
      <c r="D200" s="2" t="s">
        <v>606</v>
      </c>
      <c r="E200" s="3">
        <v>11705.695599999999</v>
      </c>
      <c r="F200" s="3">
        <v>11721.927</v>
      </c>
      <c r="G200" s="3">
        <v>50</v>
      </c>
      <c r="H200" s="3">
        <v>811.57</v>
      </c>
      <c r="I200" s="3">
        <v>785.9</v>
      </c>
      <c r="J200" s="3">
        <v>0</v>
      </c>
      <c r="K200" s="7">
        <f t="shared" si="6"/>
        <v>25.670000000000073</v>
      </c>
      <c r="L200" s="8">
        <f t="shared" si="7"/>
        <v>3.1630050396145831E-2</v>
      </c>
    </row>
    <row r="201" spans="1:12" x14ac:dyDescent="0.25">
      <c r="A201" s="1">
        <v>200</v>
      </c>
      <c r="B201" s="2" t="s">
        <v>607</v>
      </c>
      <c r="C201" s="2" t="s">
        <v>608</v>
      </c>
      <c r="D201" s="2" t="s">
        <v>609</v>
      </c>
      <c r="E201" s="3">
        <v>5167.6444000000001</v>
      </c>
      <c r="F201" s="3">
        <v>5174.8549999999996</v>
      </c>
      <c r="G201" s="3">
        <v>80</v>
      </c>
      <c r="H201" s="3">
        <v>576.85</v>
      </c>
      <c r="I201" s="3">
        <v>725.3</v>
      </c>
      <c r="J201" s="3">
        <v>308.23</v>
      </c>
      <c r="K201" s="7">
        <f t="shared" si="6"/>
        <v>159.78000000000009</v>
      </c>
      <c r="L201" s="8">
        <f t="shared" si="7"/>
        <v>0.18052605414199854</v>
      </c>
    </row>
    <row r="202" spans="1:12" x14ac:dyDescent="0.25">
      <c r="A202" s="1">
        <v>201</v>
      </c>
      <c r="B202" s="2" t="s">
        <v>610</v>
      </c>
      <c r="C202" s="2" t="s">
        <v>611</v>
      </c>
      <c r="D202" s="2" t="s">
        <v>612</v>
      </c>
      <c r="E202" s="3">
        <v>5250.0141999999996</v>
      </c>
      <c r="F202" s="3">
        <v>5254.2860000000001</v>
      </c>
      <c r="G202" s="3">
        <v>50</v>
      </c>
      <c r="H202" s="3">
        <v>213.59</v>
      </c>
      <c r="I202" s="3">
        <v>206.47</v>
      </c>
      <c r="J202" s="3">
        <v>0</v>
      </c>
      <c r="K202" s="7">
        <f t="shared" si="6"/>
        <v>7.1200000000000045</v>
      </c>
      <c r="L202" s="8">
        <f t="shared" si="7"/>
        <v>3.3334893955709557E-2</v>
      </c>
    </row>
    <row r="203" spans="1:12" x14ac:dyDescent="0.25">
      <c r="A203" s="1">
        <v>202</v>
      </c>
      <c r="B203" s="2" t="s">
        <v>613</v>
      </c>
      <c r="C203" s="2" t="s">
        <v>614</v>
      </c>
      <c r="D203" s="2" t="s">
        <v>615</v>
      </c>
      <c r="E203" s="3">
        <v>6057.5721999999996</v>
      </c>
      <c r="F203" s="3">
        <v>6068.3004000000001</v>
      </c>
      <c r="G203" s="3">
        <v>50</v>
      </c>
      <c r="H203" s="3">
        <v>536.41</v>
      </c>
      <c r="I203" s="3">
        <v>497.41</v>
      </c>
      <c r="J203" s="3">
        <v>0</v>
      </c>
      <c r="K203" s="7">
        <f t="shared" si="6"/>
        <v>38.999999999999943</v>
      </c>
      <c r="L203" s="8">
        <f t="shared" si="7"/>
        <v>7.2705579687179486E-2</v>
      </c>
    </row>
    <row r="204" spans="1:12" x14ac:dyDescent="0.25">
      <c r="A204" s="1">
        <v>203</v>
      </c>
      <c r="B204" s="2" t="s">
        <v>616</v>
      </c>
      <c r="C204" s="2" t="s">
        <v>617</v>
      </c>
      <c r="D204" s="2" t="s">
        <v>618</v>
      </c>
      <c r="E204" s="3">
        <v>4351.1516000000001</v>
      </c>
      <c r="F204" s="3">
        <v>4357.6902</v>
      </c>
      <c r="G204" s="3">
        <v>30</v>
      </c>
      <c r="H204" s="3">
        <v>196.16</v>
      </c>
      <c r="I204" s="3">
        <v>189.52</v>
      </c>
      <c r="J204" s="3">
        <v>0</v>
      </c>
      <c r="K204" s="7">
        <f t="shared" si="6"/>
        <v>6.6399999999999864</v>
      </c>
      <c r="L204" s="8">
        <f t="shared" si="7"/>
        <v>3.3849918433931418E-2</v>
      </c>
    </row>
    <row r="205" spans="1:12" x14ac:dyDescent="0.25">
      <c r="A205" s="1">
        <v>204</v>
      </c>
      <c r="B205" s="2" t="s">
        <v>619</v>
      </c>
      <c r="C205" s="2" t="s">
        <v>620</v>
      </c>
      <c r="D205" s="2" t="s">
        <v>621</v>
      </c>
      <c r="E205" s="3">
        <v>3789.4274</v>
      </c>
      <c r="F205" s="3">
        <v>3795.36</v>
      </c>
      <c r="G205" s="3">
        <v>50</v>
      </c>
      <c r="H205" s="3">
        <v>296.63</v>
      </c>
      <c r="I205" s="3">
        <v>288.49</v>
      </c>
      <c r="J205" s="3">
        <v>0</v>
      </c>
      <c r="K205" s="7">
        <f t="shared" si="6"/>
        <v>8.1399999999999864</v>
      </c>
      <c r="L205" s="8">
        <f t="shared" si="7"/>
        <v>2.74415939048646E-2</v>
      </c>
    </row>
    <row r="206" spans="1:12" x14ac:dyDescent="0.25">
      <c r="A206" s="1">
        <v>205</v>
      </c>
      <c r="B206" s="2" t="s">
        <v>622</v>
      </c>
      <c r="C206" s="2" t="s">
        <v>623</v>
      </c>
      <c r="D206" s="2" t="s">
        <v>624</v>
      </c>
      <c r="E206" s="3">
        <v>1709.8671999999999</v>
      </c>
      <c r="F206" s="3">
        <v>1713.6092000000001</v>
      </c>
      <c r="G206" s="3">
        <v>50</v>
      </c>
      <c r="H206" s="3">
        <v>187.1</v>
      </c>
      <c r="I206" s="3">
        <v>176.22</v>
      </c>
      <c r="J206" s="3">
        <v>0</v>
      </c>
      <c r="K206" s="7">
        <f t="shared" si="6"/>
        <v>10.879999999999995</v>
      </c>
      <c r="L206" s="8">
        <f t="shared" si="7"/>
        <v>5.815072153928378E-2</v>
      </c>
    </row>
    <row r="207" spans="1:12" x14ac:dyDescent="0.25">
      <c r="A207" s="1">
        <v>206</v>
      </c>
      <c r="B207" s="2" t="s">
        <v>625</v>
      </c>
      <c r="C207" s="2" t="s">
        <v>626</v>
      </c>
      <c r="D207" s="2" t="s">
        <v>627</v>
      </c>
      <c r="E207" s="3">
        <v>1254.6027999999999</v>
      </c>
      <c r="F207" s="3">
        <v>1258.52</v>
      </c>
      <c r="G207" s="3">
        <v>50</v>
      </c>
      <c r="H207" s="3">
        <v>195.86</v>
      </c>
      <c r="I207" s="3">
        <v>125</v>
      </c>
      <c r="J207" s="3">
        <v>0</v>
      </c>
      <c r="K207" s="7">
        <f t="shared" si="6"/>
        <v>70.860000000000014</v>
      </c>
      <c r="L207" s="8">
        <f t="shared" si="7"/>
        <v>0.36178903298274284</v>
      </c>
    </row>
    <row r="208" spans="1:12" x14ac:dyDescent="0.25">
      <c r="A208" s="1">
        <v>207</v>
      </c>
      <c r="B208" s="2" t="s">
        <v>628</v>
      </c>
      <c r="C208" s="2" t="s">
        <v>629</v>
      </c>
      <c r="D208" s="2" t="s">
        <v>630</v>
      </c>
      <c r="E208" s="3">
        <v>2988.5925999999999</v>
      </c>
      <c r="F208" s="3">
        <v>2992.5925999999999</v>
      </c>
      <c r="G208" s="3">
        <v>80</v>
      </c>
      <c r="H208" s="3">
        <v>320</v>
      </c>
      <c r="I208" s="3">
        <v>308.70999999999998</v>
      </c>
      <c r="J208" s="3">
        <v>0</v>
      </c>
      <c r="K208" s="7">
        <f t="shared" si="6"/>
        <v>11.29000000000002</v>
      </c>
      <c r="L208" s="8">
        <f t="shared" si="7"/>
        <v>3.5281250000000063E-2</v>
      </c>
    </row>
    <row r="209" spans="1:12" x14ac:dyDescent="0.25">
      <c r="A209" s="1">
        <v>208</v>
      </c>
      <c r="B209" s="2" t="s">
        <v>631</v>
      </c>
      <c r="C209" s="2" t="s">
        <v>632</v>
      </c>
      <c r="D209" s="2" t="s">
        <v>633</v>
      </c>
      <c r="E209" s="3">
        <v>2729.7723999999998</v>
      </c>
      <c r="F209" s="3">
        <v>2731.2069999999999</v>
      </c>
      <c r="G209" s="3">
        <v>50</v>
      </c>
      <c r="H209" s="3">
        <v>71.73</v>
      </c>
      <c r="I209" s="3">
        <v>68.61</v>
      </c>
      <c r="J209" s="3">
        <v>0</v>
      </c>
      <c r="K209" s="7">
        <f t="shared" si="6"/>
        <v>3.1200000000000045</v>
      </c>
      <c r="L209" s="8">
        <f t="shared" si="7"/>
        <v>4.3496445002091239E-2</v>
      </c>
    </row>
    <row r="210" spans="1:12" x14ac:dyDescent="0.25">
      <c r="A210" s="1">
        <v>209</v>
      </c>
      <c r="B210" s="2" t="s">
        <v>634</v>
      </c>
      <c r="C210" s="2" t="s">
        <v>635</v>
      </c>
      <c r="D210" s="2" t="s">
        <v>636</v>
      </c>
      <c r="E210" s="3">
        <v>3937.2476000000001</v>
      </c>
      <c r="F210" s="3">
        <v>3943.0598</v>
      </c>
      <c r="G210" s="3">
        <v>50</v>
      </c>
      <c r="H210" s="3">
        <v>290.61</v>
      </c>
      <c r="I210" s="3">
        <v>283.49</v>
      </c>
      <c r="J210" s="3">
        <v>0</v>
      </c>
      <c r="K210" s="7">
        <f t="shared" si="6"/>
        <v>7.1200000000000045</v>
      </c>
      <c r="L210" s="8">
        <f t="shared" si="7"/>
        <v>2.450018925707995E-2</v>
      </c>
    </row>
    <row r="211" spans="1:12" x14ac:dyDescent="0.25">
      <c r="A211" s="1">
        <v>210</v>
      </c>
      <c r="B211" s="2" t="s">
        <v>637</v>
      </c>
      <c r="C211" s="2" t="s">
        <v>638</v>
      </c>
      <c r="D211" s="2" t="s">
        <v>639</v>
      </c>
      <c r="E211" s="3">
        <v>3846.2451999999998</v>
      </c>
      <c r="F211" s="3">
        <v>3856.5412000000001</v>
      </c>
      <c r="G211" s="3">
        <v>80</v>
      </c>
      <c r="H211" s="3">
        <v>823.68</v>
      </c>
      <c r="I211" s="3">
        <v>745.78</v>
      </c>
      <c r="J211" s="3">
        <v>47.1</v>
      </c>
      <c r="K211" s="7">
        <f t="shared" si="6"/>
        <v>125</v>
      </c>
      <c r="L211" s="8">
        <f t="shared" si="7"/>
        <v>0.14354946140242084</v>
      </c>
    </row>
    <row r="212" spans="1:12" x14ac:dyDescent="0.25">
      <c r="A212" s="1">
        <v>211</v>
      </c>
      <c r="B212" s="2" t="s">
        <v>640</v>
      </c>
      <c r="C212" s="2" t="s">
        <v>641</v>
      </c>
      <c r="D212" s="2" t="s">
        <v>642</v>
      </c>
      <c r="E212" s="3">
        <v>54588.72</v>
      </c>
      <c r="F212" s="3">
        <v>54599.040000000001</v>
      </c>
      <c r="G212" s="3">
        <v>100</v>
      </c>
      <c r="H212" s="3">
        <v>1032</v>
      </c>
      <c r="I212" s="3">
        <v>1080.42</v>
      </c>
      <c r="J212" s="3">
        <v>94.32</v>
      </c>
      <c r="K212" s="7">
        <f t="shared" si="6"/>
        <v>45.899999999999864</v>
      </c>
      <c r="L212" s="8">
        <f t="shared" si="7"/>
        <v>4.075218410398454E-2</v>
      </c>
    </row>
    <row r="213" spans="1:12" x14ac:dyDescent="0.25">
      <c r="A213" s="1">
        <v>212</v>
      </c>
      <c r="B213" s="2" t="s">
        <v>643</v>
      </c>
      <c r="C213" s="2" t="s">
        <v>644</v>
      </c>
      <c r="D213" s="2" t="s">
        <v>645</v>
      </c>
      <c r="E213" s="3">
        <v>24367.72</v>
      </c>
      <c r="F213" s="3">
        <v>24376.36</v>
      </c>
      <c r="G213" s="3">
        <v>80</v>
      </c>
      <c r="H213" s="3">
        <v>691.2</v>
      </c>
      <c r="I213" s="3">
        <v>895.13</v>
      </c>
      <c r="J213" s="3">
        <v>87.91</v>
      </c>
      <c r="K213" s="7">
        <f t="shared" si="6"/>
        <v>-116.01999999999998</v>
      </c>
      <c r="L213" s="8">
        <f t="shared" si="7"/>
        <v>-0.14891350386980012</v>
      </c>
    </row>
    <row r="214" spans="1:12" x14ac:dyDescent="0.25">
      <c r="A214" s="1">
        <v>213</v>
      </c>
      <c r="B214" s="2" t="s">
        <v>646</v>
      </c>
      <c r="C214" s="2" t="s">
        <v>647</v>
      </c>
      <c r="D214" s="2" t="s">
        <v>648</v>
      </c>
      <c r="E214" s="3">
        <v>57466.6374</v>
      </c>
      <c r="F214" s="3">
        <v>57490.573100000001</v>
      </c>
      <c r="G214" s="3">
        <v>15</v>
      </c>
      <c r="H214" s="3">
        <v>359.04</v>
      </c>
      <c r="I214" s="3">
        <v>349.11</v>
      </c>
      <c r="J214" s="3">
        <v>0</v>
      </c>
      <c r="K214" s="7">
        <f t="shared" si="6"/>
        <v>9.9300000000000068</v>
      </c>
      <c r="L214" s="8">
        <f t="shared" si="7"/>
        <v>2.7657085561497343E-2</v>
      </c>
    </row>
    <row r="215" spans="1:12" x14ac:dyDescent="0.25">
      <c r="A215" s="1">
        <v>214</v>
      </c>
      <c r="B215" s="2" t="s">
        <v>649</v>
      </c>
      <c r="C215" s="2" t="s">
        <v>650</v>
      </c>
      <c r="D215" s="2" t="s">
        <v>651</v>
      </c>
      <c r="E215" s="3">
        <v>9501.6291999999994</v>
      </c>
      <c r="F215" s="3">
        <v>9511.2628000000004</v>
      </c>
      <c r="G215" s="3">
        <v>50</v>
      </c>
      <c r="H215" s="3">
        <v>481.68</v>
      </c>
      <c r="I215" s="3">
        <v>464.14</v>
      </c>
      <c r="J215" s="3">
        <v>0</v>
      </c>
      <c r="K215" s="7">
        <f t="shared" si="6"/>
        <v>17.54000000000002</v>
      </c>
      <c r="L215" s="8">
        <f t="shared" si="7"/>
        <v>3.6414216907490492E-2</v>
      </c>
    </row>
    <row r="216" spans="1:12" x14ac:dyDescent="0.25">
      <c r="A216" s="1">
        <v>215</v>
      </c>
      <c r="B216" s="2" t="s">
        <v>652</v>
      </c>
      <c r="C216" s="2" t="s">
        <v>653</v>
      </c>
      <c r="D216" s="2" t="s">
        <v>654</v>
      </c>
      <c r="E216" s="3">
        <v>42928.5386</v>
      </c>
      <c r="F216" s="3">
        <v>42941.637499999997</v>
      </c>
      <c r="G216" s="3">
        <v>20</v>
      </c>
      <c r="H216" s="3">
        <v>261.98</v>
      </c>
      <c r="I216" s="3">
        <v>239.81</v>
      </c>
      <c r="J216" s="3">
        <v>0</v>
      </c>
      <c r="K216" s="7">
        <f t="shared" si="6"/>
        <v>22.170000000000016</v>
      </c>
      <c r="L216" s="8">
        <f t="shared" si="7"/>
        <v>8.4624780517596823E-2</v>
      </c>
    </row>
    <row r="217" spans="1:12" x14ac:dyDescent="0.25">
      <c r="A217" s="1">
        <v>216</v>
      </c>
      <c r="B217" s="2" t="s">
        <v>655</v>
      </c>
      <c r="C217" s="2" t="s">
        <v>656</v>
      </c>
      <c r="D217" s="2" t="s">
        <v>657</v>
      </c>
      <c r="E217" s="3">
        <v>35840.322500000002</v>
      </c>
      <c r="F217" s="3">
        <v>35856.209199999998</v>
      </c>
      <c r="G217" s="3">
        <v>20</v>
      </c>
      <c r="H217" s="3">
        <v>317.73</v>
      </c>
      <c r="I217" s="3">
        <v>308.97000000000003</v>
      </c>
      <c r="J217" s="3">
        <v>0</v>
      </c>
      <c r="K217" s="7">
        <f t="shared" si="6"/>
        <v>8.7599999999999909</v>
      </c>
      <c r="L217" s="8">
        <f t="shared" si="7"/>
        <v>2.7570578793315047E-2</v>
      </c>
    </row>
    <row r="218" spans="1:12" x14ac:dyDescent="0.25">
      <c r="A218" s="1">
        <v>217</v>
      </c>
      <c r="B218" s="2" t="s">
        <v>658</v>
      </c>
      <c r="C218" s="2" t="s">
        <v>659</v>
      </c>
      <c r="D218" s="2" t="s">
        <v>660</v>
      </c>
      <c r="E218" s="3">
        <v>21317.919399999999</v>
      </c>
      <c r="F218" s="3">
        <v>21327.937099999999</v>
      </c>
      <c r="G218" s="3">
        <v>80</v>
      </c>
      <c r="H218" s="3">
        <v>801.42</v>
      </c>
      <c r="I218" s="3">
        <v>812.94</v>
      </c>
      <c r="J218" s="3">
        <v>37.299999999999997</v>
      </c>
      <c r="K218" s="7">
        <f t="shared" si="6"/>
        <v>25.779999999999859</v>
      </c>
      <c r="L218" s="8">
        <f t="shared" si="7"/>
        <v>3.0737314002289039E-2</v>
      </c>
    </row>
    <row r="219" spans="1:12" x14ac:dyDescent="0.25">
      <c r="A219" s="1">
        <v>218</v>
      </c>
      <c r="B219" s="2" t="s">
        <v>661</v>
      </c>
      <c r="C219" s="2" t="s">
        <v>662</v>
      </c>
      <c r="D219" s="2" t="s">
        <v>663</v>
      </c>
      <c r="E219" s="3">
        <v>3253.1844000000001</v>
      </c>
      <c r="F219" s="3">
        <v>3256.8353999999999</v>
      </c>
      <c r="G219" s="3">
        <v>30</v>
      </c>
      <c r="H219" s="3">
        <v>109.53</v>
      </c>
      <c r="I219" s="3">
        <v>105.26</v>
      </c>
      <c r="J219" s="3">
        <v>0</v>
      </c>
      <c r="K219" s="7">
        <f t="shared" si="6"/>
        <v>4.269999999999996</v>
      </c>
      <c r="L219" s="8">
        <f t="shared" si="7"/>
        <v>3.8984753035697949E-2</v>
      </c>
    </row>
    <row r="220" spans="1:12" x14ac:dyDescent="0.25">
      <c r="A220" s="1">
        <v>219</v>
      </c>
      <c r="B220" s="2" t="s">
        <v>664</v>
      </c>
      <c r="C220" s="2" t="s">
        <v>665</v>
      </c>
      <c r="D220" s="2" t="s">
        <v>666</v>
      </c>
      <c r="E220" s="3">
        <v>7912.2085999999999</v>
      </c>
      <c r="F220" s="3">
        <v>7920.0972000000002</v>
      </c>
      <c r="G220" s="3">
        <v>50</v>
      </c>
      <c r="H220" s="3">
        <v>394.43</v>
      </c>
      <c r="I220" s="3">
        <v>378.93</v>
      </c>
      <c r="J220" s="3">
        <v>0</v>
      </c>
      <c r="K220" s="7">
        <f t="shared" si="6"/>
        <v>15.5</v>
      </c>
      <c r="L220" s="8">
        <f t="shared" si="7"/>
        <v>3.9297213700783408E-2</v>
      </c>
    </row>
    <row r="221" spans="1:12" x14ac:dyDescent="0.25">
      <c r="A221" s="1">
        <v>220</v>
      </c>
      <c r="B221" s="2" t="s">
        <v>667</v>
      </c>
      <c r="C221" s="2" t="s">
        <v>668</v>
      </c>
      <c r="D221" s="2" t="s">
        <v>669</v>
      </c>
      <c r="E221" s="3">
        <v>45190764.200000003</v>
      </c>
      <c r="F221" s="3">
        <v>45190768.759999998</v>
      </c>
      <c r="G221" s="3">
        <v>30</v>
      </c>
      <c r="H221" s="3">
        <v>136.80000000000001</v>
      </c>
      <c r="I221" s="3">
        <v>171.59</v>
      </c>
      <c r="J221" s="3">
        <v>0</v>
      </c>
      <c r="K221" s="7">
        <f t="shared" si="6"/>
        <v>-34.789999999999992</v>
      </c>
      <c r="L221" s="8">
        <f t="shared" si="7"/>
        <v>-0.25431286549707594</v>
      </c>
    </row>
    <row r="222" spans="1:12" x14ac:dyDescent="0.25">
      <c r="A222" s="1">
        <v>221</v>
      </c>
      <c r="B222" s="2" t="s">
        <v>670</v>
      </c>
      <c r="C222" s="2" t="s">
        <v>671</v>
      </c>
      <c r="D222" s="2" t="s">
        <v>672</v>
      </c>
      <c r="E222" s="3">
        <v>3968.5171999999998</v>
      </c>
      <c r="F222" s="3">
        <v>3972.0118000000002</v>
      </c>
      <c r="G222" s="3">
        <v>60</v>
      </c>
      <c r="H222" s="3">
        <v>209.68</v>
      </c>
      <c r="I222" s="3">
        <v>194.83</v>
      </c>
      <c r="J222" s="3">
        <v>0</v>
      </c>
      <c r="K222" s="7">
        <f t="shared" si="6"/>
        <v>14.849999999999994</v>
      </c>
      <c r="L222" s="8">
        <f t="shared" si="7"/>
        <v>7.0822205265165944E-2</v>
      </c>
    </row>
    <row r="223" spans="1:12" x14ac:dyDescent="0.25">
      <c r="A223" s="1">
        <v>222</v>
      </c>
      <c r="B223" s="2" t="s">
        <v>673</v>
      </c>
      <c r="C223" s="2" t="s">
        <v>674</v>
      </c>
      <c r="D223" s="2" t="s">
        <v>675</v>
      </c>
      <c r="E223" s="3">
        <v>37970.18</v>
      </c>
      <c r="F223" s="3">
        <v>37979.89</v>
      </c>
      <c r="G223" s="3">
        <v>80</v>
      </c>
      <c r="H223" s="3">
        <v>776.8</v>
      </c>
      <c r="I223" s="3">
        <v>730.27</v>
      </c>
      <c r="J223" s="3">
        <v>0</v>
      </c>
      <c r="K223" s="7">
        <f t="shared" si="6"/>
        <v>46.529999999999973</v>
      </c>
      <c r="L223" s="8">
        <f t="shared" si="7"/>
        <v>5.9899588053553006E-2</v>
      </c>
    </row>
    <row r="224" spans="1:12" x14ac:dyDescent="0.25">
      <c r="A224" s="1">
        <v>223</v>
      </c>
      <c r="B224" s="2" t="s">
        <v>676</v>
      </c>
      <c r="C224" s="2" t="s">
        <v>677</v>
      </c>
      <c r="D224" s="2" t="s">
        <v>678</v>
      </c>
      <c r="E224" s="3">
        <v>5027.5742</v>
      </c>
      <c r="F224" s="3">
        <v>5034.0227999999997</v>
      </c>
      <c r="G224" s="3">
        <v>80</v>
      </c>
      <c r="H224" s="3">
        <v>515.89</v>
      </c>
      <c r="I224" s="3">
        <v>486.44</v>
      </c>
      <c r="J224" s="3">
        <v>0</v>
      </c>
      <c r="K224" s="7">
        <f t="shared" si="6"/>
        <v>29.449999999999989</v>
      </c>
      <c r="L224" s="8">
        <f t="shared" si="7"/>
        <v>5.708581286708405E-2</v>
      </c>
    </row>
    <row r="225" spans="1:12" x14ac:dyDescent="0.25">
      <c r="A225" s="1">
        <v>224</v>
      </c>
      <c r="B225" s="2" t="s">
        <v>679</v>
      </c>
      <c r="C225" s="2" t="s">
        <v>680</v>
      </c>
      <c r="D225" s="2" t="s">
        <v>681</v>
      </c>
      <c r="E225" s="3">
        <v>9719.73</v>
      </c>
      <c r="F225" s="3">
        <v>9720.51</v>
      </c>
      <c r="G225" s="3">
        <v>60</v>
      </c>
      <c r="H225" s="3">
        <v>46.8</v>
      </c>
      <c r="I225" s="3">
        <v>39.5</v>
      </c>
      <c r="J225" s="3">
        <v>0</v>
      </c>
      <c r="K225" s="7">
        <f t="shared" si="6"/>
        <v>7.2999999999999972</v>
      </c>
      <c r="L225" s="8">
        <f t="shared" si="7"/>
        <v>0.15598290598290593</v>
      </c>
    </row>
    <row r="226" spans="1:12" x14ac:dyDescent="0.25">
      <c r="A226" s="1">
        <v>225</v>
      </c>
      <c r="B226" s="2" t="s">
        <v>682</v>
      </c>
      <c r="C226" s="2" t="s">
        <v>683</v>
      </c>
      <c r="D226" s="2" t="s">
        <v>684</v>
      </c>
      <c r="E226" s="3">
        <v>17926.27</v>
      </c>
      <c r="F226" s="3">
        <v>17927.39</v>
      </c>
      <c r="G226" s="3">
        <v>80</v>
      </c>
      <c r="H226" s="3">
        <v>89.6</v>
      </c>
      <c r="I226" s="3">
        <v>85.03</v>
      </c>
      <c r="J226" s="3">
        <v>0</v>
      </c>
      <c r="K226" s="7">
        <f t="shared" si="6"/>
        <v>4.5699999999999932</v>
      </c>
      <c r="L226" s="8">
        <f t="shared" si="7"/>
        <v>5.1004464285714216E-2</v>
      </c>
    </row>
    <row r="227" spans="1:12" x14ac:dyDescent="0.25">
      <c r="A227" s="1">
        <v>226</v>
      </c>
      <c r="B227" s="2" t="s">
        <v>685</v>
      </c>
      <c r="C227" s="2" t="s">
        <v>686</v>
      </c>
      <c r="D227" s="2" t="s">
        <v>687</v>
      </c>
      <c r="E227" s="3">
        <v>51420.884400000003</v>
      </c>
      <c r="F227" s="3">
        <v>51437.282899999998</v>
      </c>
      <c r="G227" s="3">
        <v>50</v>
      </c>
      <c r="H227" s="3">
        <v>819.92</v>
      </c>
      <c r="I227" s="3">
        <v>799.38</v>
      </c>
      <c r="J227" s="3">
        <v>0</v>
      </c>
      <c r="K227" s="7">
        <f t="shared" si="6"/>
        <v>20.539999999999964</v>
      </c>
      <c r="L227" s="8">
        <f t="shared" si="7"/>
        <v>2.505122450970822E-2</v>
      </c>
    </row>
    <row r="228" spans="1:12" x14ac:dyDescent="0.25">
      <c r="A228" s="1">
        <v>227</v>
      </c>
      <c r="B228" s="2" t="s">
        <v>688</v>
      </c>
      <c r="C228" s="2" t="s">
        <v>689</v>
      </c>
      <c r="D228" s="2" t="s">
        <v>690</v>
      </c>
      <c r="E228" s="3">
        <v>4423.9781999999996</v>
      </c>
      <c r="F228" s="3">
        <v>4426.1337999999996</v>
      </c>
      <c r="G228" s="3">
        <v>30</v>
      </c>
      <c r="H228" s="3">
        <v>64.67</v>
      </c>
      <c r="I228" s="3">
        <v>61.69</v>
      </c>
      <c r="J228" s="3">
        <v>0</v>
      </c>
      <c r="K228" s="7">
        <f t="shared" si="6"/>
        <v>2.980000000000004</v>
      </c>
      <c r="L228" s="8">
        <f t="shared" si="7"/>
        <v>4.6080098963970986E-2</v>
      </c>
    </row>
    <row r="229" spans="1:12" x14ac:dyDescent="0.25">
      <c r="A229" s="1">
        <v>228</v>
      </c>
      <c r="B229" s="2" t="s">
        <v>691</v>
      </c>
      <c r="C229" s="2" t="s">
        <v>692</v>
      </c>
      <c r="D229" s="2" t="s">
        <v>693</v>
      </c>
      <c r="E229" s="3">
        <v>29508.5304</v>
      </c>
      <c r="F229" s="3">
        <v>29511.526300000001</v>
      </c>
      <c r="G229" s="3">
        <v>30</v>
      </c>
      <c r="H229" s="3">
        <v>89.88</v>
      </c>
      <c r="I229" s="3">
        <v>88.46</v>
      </c>
      <c r="J229" s="3">
        <v>0</v>
      </c>
      <c r="K229" s="7">
        <f t="shared" si="6"/>
        <v>1.4200000000000017</v>
      </c>
      <c r="L229" s="8">
        <f t="shared" si="7"/>
        <v>1.5798842901646661E-2</v>
      </c>
    </row>
    <row r="230" spans="1:12" x14ac:dyDescent="0.25">
      <c r="A230" s="1">
        <v>229</v>
      </c>
      <c r="B230" s="2" t="s">
        <v>694</v>
      </c>
      <c r="C230" s="2" t="s">
        <v>695</v>
      </c>
      <c r="D230" s="2" t="s">
        <v>696</v>
      </c>
      <c r="E230" s="3">
        <v>0</v>
      </c>
      <c r="F230" s="3">
        <v>0</v>
      </c>
      <c r="G230" s="3">
        <v>40</v>
      </c>
      <c r="H230" s="3">
        <v>0</v>
      </c>
      <c r="I230" s="3">
        <v>87.88</v>
      </c>
      <c r="J230" s="3">
        <v>0</v>
      </c>
      <c r="K230" s="7">
        <f t="shared" si="6"/>
        <v>-87.88</v>
      </c>
      <c r="L230" s="8" t="e">
        <f t="shared" si="7"/>
        <v>#DIV/0!</v>
      </c>
    </row>
    <row r="231" spans="1:12" x14ac:dyDescent="0.25">
      <c r="A231" s="1">
        <v>230</v>
      </c>
      <c r="B231" s="2" t="s">
        <v>697</v>
      </c>
      <c r="C231" s="2" t="s">
        <v>698</v>
      </c>
      <c r="D231" s="2" t="s">
        <v>699</v>
      </c>
      <c r="E231" s="3">
        <v>19770.0759</v>
      </c>
      <c r="F231" s="3">
        <v>19776.16</v>
      </c>
      <c r="G231" s="3">
        <v>30</v>
      </c>
      <c r="H231" s="3">
        <v>182.52</v>
      </c>
      <c r="I231" s="3">
        <v>177.4</v>
      </c>
      <c r="J231" s="3">
        <v>0</v>
      </c>
      <c r="K231" s="7">
        <f t="shared" si="6"/>
        <v>5.1200000000000045</v>
      </c>
      <c r="L231" s="8">
        <f t="shared" si="7"/>
        <v>2.8051720359412689E-2</v>
      </c>
    </row>
    <row r="232" spans="1:12" x14ac:dyDescent="0.25">
      <c r="A232" s="1">
        <v>231</v>
      </c>
      <c r="B232" s="2" t="s">
        <v>700</v>
      </c>
      <c r="C232" s="2" t="s">
        <v>701</v>
      </c>
      <c r="D232" s="2" t="s">
        <v>702</v>
      </c>
      <c r="E232" s="3">
        <v>4733.84</v>
      </c>
      <c r="F232" s="3">
        <v>4737.4799999999996</v>
      </c>
      <c r="G232" s="3">
        <v>80</v>
      </c>
      <c r="H232" s="3">
        <v>291.2</v>
      </c>
      <c r="I232" s="3">
        <v>321.99</v>
      </c>
      <c r="J232" s="3">
        <v>65.459999999999994</v>
      </c>
      <c r="K232" s="7">
        <f t="shared" si="6"/>
        <v>34.669999999999959</v>
      </c>
      <c r="L232" s="8">
        <f t="shared" si="7"/>
        <v>9.7207424437839848E-2</v>
      </c>
    </row>
    <row r="233" spans="1:12" x14ac:dyDescent="0.25">
      <c r="A233" s="1">
        <v>232</v>
      </c>
      <c r="B233" s="2" t="s">
        <v>703</v>
      </c>
      <c r="C233" s="2" t="s">
        <v>704</v>
      </c>
      <c r="D233" s="2" t="s">
        <v>705</v>
      </c>
      <c r="E233" s="3">
        <v>29774.059099999999</v>
      </c>
      <c r="F233" s="3">
        <v>29775.535</v>
      </c>
      <c r="G233" s="3">
        <v>80</v>
      </c>
      <c r="H233" s="3">
        <v>118.07</v>
      </c>
      <c r="I233" s="3">
        <v>92.23</v>
      </c>
      <c r="J233" s="3">
        <v>10.62</v>
      </c>
      <c r="K233" s="7">
        <f t="shared" si="6"/>
        <v>36.459999999999994</v>
      </c>
      <c r="L233" s="8">
        <f t="shared" si="7"/>
        <v>0.28331649700831452</v>
      </c>
    </row>
    <row r="234" spans="1:12" x14ac:dyDescent="0.25">
      <c r="A234" s="1">
        <v>233</v>
      </c>
      <c r="B234" s="2" t="s">
        <v>706</v>
      </c>
      <c r="C234" s="2" t="s">
        <v>707</v>
      </c>
      <c r="D234" s="2" t="s">
        <v>708</v>
      </c>
      <c r="E234" s="3">
        <v>4818.5342000000001</v>
      </c>
      <c r="F234" s="3">
        <v>4823.0272000000004</v>
      </c>
      <c r="G234" s="3">
        <v>80</v>
      </c>
      <c r="H234" s="3">
        <v>359.44</v>
      </c>
      <c r="I234" s="3">
        <v>273.06</v>
      </c>
      <c r="J234" s="3">
        <v>0</v>
      </c>
      <c r="K234" s="7">
        <f t="shared" si="6"/>
        <v>86.38</v>
      </c>
      <c r="L234" s="8">
        <f t="shared" si="7"/>
        <v>0.24031827286890717</v>
      </c>
    </row>
    <row r="235" spans="1:12" x14ac:dyDescent="0.25">
      <c r="A235" s="1">
        <v>234</v>
      </c>
      <c r="B235" s="2" t="s">
        <v>709</v>
      </c>
      <c r="C235" s="2" t="s">
        <v>710</v>
      </c>
      <c r="D235" s="2" t="s">
        <v>711</v>
      </c>
      <c r="E235" s="3">
        <v>3669.7916</v>
      </c>
      <c r="F235" s="3">
        <v>3675.5720000000001</v>
      </c>
      <c r="G235" s="3">
        <v>30</v>
      </c>
      <c r="H235" s="3">
        <v>173.41</v>
      </c>
      <c r="I235" s="3">
        <v>165.44</v>
      </c>
      <c r="J235" s="3">
        <v>0</v>
      </c>
      <c r="K235" s="7">
        <f t="shared" si="6"/>
        <v>7.9699999999999989</v>
      </c>
      <c r="L235" s="8">
        <f t="shared" si="7"/>
        <v>4.5960440574361335E-2</v>
      </c>
    </row>
    <row r="236" spans="1:12" x14ac:dyDescent="0.25">
      <c r="A236" s="1">
        <v>235</v>
      </c>
      <c r="B236" s="2" t="s">
        <v>712</v>
      </c>
      <c r="C236" s="2" t="s">
        <v>713</v>
      </c>
      <c r="D236" s="2" t="s">
        <v>714</v>
      </c>
      <c r="E236" s="3">
        <v>4743.2340000000004</v>
      </c>
      <c r="F236" s="3">
        <v>4748.9669999999996</v>
      </c>
      <c r="G236" s="3">
        <v>50</v>
      </c>
      <c r="H236" s="3">
        <v>286.64999999999998</v>
      </c>
      <c r="I236" s="3">
        <v>278.12</v>
      </c>
      <c r="J236" s="3">
        <v>0</v>
      </c>
      <c r="K236" s="7">
        <f t="shared" si="6"/>
        <v>8.5299999999999727</v>
      </c>
      <c r="L236" s="8">
        <f t="shared" si="7"/>
        <v>2.9757544043258238E-2</v>
      </c>
    </row>
    <row r="237" spans="1:12" x14ac:dyDescent="0.25">
      <c r="A237" s="1">
        <v>236</v>
      </c>
      <c r="B237" s="2" t="s">
        <v>715</v>
      </c>
      <c r="C237" s="2" t="s">
        <v>716</v>
      </c>
      <c r="D237" s="2" t="s">
        <v>717</v>
      </c>
      <c r="E237" s="3">
        <v>1467.5686000000001</v>
      </c>
      <c r="F237" s="3">
        <v>1469.2772</v>
      </c>
      <c r="G237" s="3">
        <v>80</v>
      </c>
      <c r="H237" s="3">
        <v>136.69</v>
      </c>
      <c r="I237" s="3">
        <v>131.88999999999999</v>
      </c>
      <c r="J237" s="3">
        <v>0</v>
      </c>
      <c r="K237" s="7">
        <f t="shared" si="6"/>
        <v>4.8000000000000114</v>
      </c>
      <c r="L237" s="8">
        <f t="shared" si="7"/>
        <v>3.5115955812422356E-2</v>
      </c>
    </row>
    <row r="238" spans="1:12" x14ac:dyDescent="0.25">
      <c r="A238" s="1">
        <v>237</v>
      </c>
      <c r="B238" s="2" t="s">
        <v>718</v>
      </c>
      <c r="C238" s="2" t="s">
        <v>719</v>
      </c>
      <c r="D238" s="2" t="s">
        <v>720</v>
      </c>
      <c r="E238" s="3">
        <v>3206.3780000000002</v>
      </c>
      <c r="F238" s="3">
        <v>3214.0518000000002</v>
      </c>
      <c r="G238" s="3">
        <v>50</v>
      </c>
      <c r="H238" s="3">
        <v>383.69</v>
      </c>
      <c r="I238" s="3">
        <v>374.78</v>
      </c>
      <c r="J238" s="3">
        <v>0</v>
      </c>
      <c r="K238" s="7">
        <f t="shared" si="6"/>
        <v>8.910000000000025</v>
      </c>
      <c r="L238" s="8">
        <f t="shared" si="7"/>
        <v>2.3221871823607666E-2</v>
      </c>
    </row>
  </sheetData>
  <autoFilter ref="A1:J238" xr:uid="{00000000-0001-0000-0000-000000000000}"/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ChiTiet_DauTram_TBA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Viet Thi</cp:lastModifiedBy>
  <cp:lastPrinted>2026-09-14T07:50:46Z</cp:lastPrinted>
  <dcterms:created xsi:type="dcterms:W3CDTF">2026-09-13T15:09:49Z</dcterms:created>
  <dcterms:modified xsi:type="dcterms:W3CDTF">2026-09-14T07:57:01Z</dcterms:modified>
</cp:coreProperties>
</file>