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8a8bcbb8227c5a0/1.0.2.KD DIEN LUC/2.TTDN 2026/1.BC TTDN 2026/QUAN_LY_TON_THAT_DAILY/DATA_OUTPUT/2026/09/11/"/>
    </mc:Choice>
  </mc:AlternateContent>
  <xr:revisionPtr revIDLastSave="16" documentId="11_74993438D34F746FA159BAF24E5ED87656CF006A" xr6:coauthVersionLast="47" xr6:coauthVersionMax="47" xr10:uidLastSave="{A22F728D-C4CF-44AA-B18D-E6482DF5BFCE}"/>
  <bookViews>
    <workbookView xWindow="-110" yWindow="-110" windowWidth="19420" windowHeight="10300" xr2:uid="{00000000-000D-0000-FFFF-FFFF00000000}"/>
  </bookViews>
  <sheets>
    <sheet name="ChiTiet_DauTram_TB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9" i="1" l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I239" i="1"/>
  <c r="J239" i="1"/>
  <c r="H239" i="1"/>
</calcChain>
</file>

<file path=xl/sharedStrings.xml><?xml version="1.0" encoding="utf-8"?>
<sst xmlns="http://schemas.openxmlformats.org/spreadsheetml/2006/main" count="721" uniqueCount="721">
  <si>
    <t>STT</t>
  </si>
  <si>
    <t>Mã trạm</t>
  </si>
  <si>
    <t>Mã điểm đo</t>
  </si>
  <si>
    <t>Tên trạm/điểm đo</t>
  </si>
  <si>
    <t>Chỉ số trước</t>
  </si>
  <si>
    <t>Chỉ số sau</t>
  </si>
  <si>
    <t>HSN</t>
  </si>
  <si>
    <t>Sản lượng ngày (kWh)</t>
  </si>
  <si>
    <t>Thương phẩm ngày (kWh)</t>
  </si>
  <si>
    <t>Điện năng nhận từ KH sau trạm công cộng (kWh)</t>
  </si>
  <si>
    <t>IC511017</t>
  </si>
  <si>
    <t>PC10II0132495001</t>
  </si>
  <si>
    <t>TBA Làng PleiTe (II9).</t>
  </si>
  <si>
    <t>IC511018</t>
  </si>
  <si>
    <t>PC10II0132494001</t>
  </si>
  <si>
    <t>TBA UB xã IaPhí (II8).</t>
  </si>
  <si>
    <t>IC511019</t>
  </si>
  <si>
    <t>PC10II000279001</t>
  </si>
  <si>
    <t>TBA Làng PleiKép (IF1).</t>
  </si>
  <si>
    <t>IC511021</t>
  </si>
  <si>
    <t>PC10II0132152001</t>
  </si>
  <si>
    <t>TBA Làng Bốc Grut (II6).</t>
  </si>
  <si>
    <t>IC511034</t>
  </si>
  <si>
    <t>PC10II0132147001</t>
  </si>
  <si>
    <t>TBA Làng Rơ Vai (II5).</t>
  </si>
  <si>
    <t>IC511044</t>
  </si>
  <si>
    <t>PC10II0132224001</t>
  </si>
  <si>
    <t>TBA L. Kon Sơ Lăng (IXT)</t>
  </si>
  <si>
    <t>IC511050</t>
  </si>
  <si>
    <t>PC10II0132131001</t>
  </si>
  <si>
    <t>TBA Làng Bối (IF3)</t>
  </si>
  <si>
    <t>IC511051</t>
  </si>
  <si>
    <t>PC10II0132129001</t>
  </si>
  <si>
    <t>TBA Làng HReng (IF2)</t>
  </si>
  <si>
    <t>IC511054</t>
  </si>
  <si>
    <t>PC10II0132205001</t>
  </si>
  <si>
    <t>Làng Tơ Ver 2(IXN)</t>
  </si>
  <si>
    <t>IC511055</t>
  </si>
  <si>
    <t>PC10II0132213001</t>
  </si>
  <si>
    <t>TBA Làng Tuêck (IXO)</t>
  </si>
  <si>
    <t>IC511056</t>
  </si>
  <si>
    <t>PC10II0132220001</t>
  </si>
  <si>
    <t>TBA Làng Mo Cũ (IXP).</t>
  </si>
  <si>
    <t>IC511057</t>
  </si>
  <si>
    <t>PC10II0132216001</t>
  </si>
  <si>
    <t>TBA Làng Mo Mới  (IXQ).</t>
  </si>
  <si>
    <t>IC511058</t>
  </si>
  <si>
    <t>PC10II0132218001</t>
  </si>
  <si>
    <t>TBA Làng Om (IXR)</t>
  </si>
  <si>
    <t>IC511064</t>
  </si>
  <si>
    <t>PC10II000259001</t>
  </si>
  <si>
    <t>TBA Làng Rồi (IX8)</t>
  </si>
  <si>
    <t>IC511066</t>
  </si>
  <si>
    <t>PC10II0132498001</t>
  </si>
  <si>
    <t>TBA Làng Roih (IXW)</t>
  </si>
  <si>
    <t>IC511067</t>
  </si>
  <si>
    <t>PC10II0132502001</t>
  </si>
  <si>
    <t>TBA Làng Yang 1&amp;2 (IXV).</t>
  </si>
  <si>
    <t>IC511068</t>
  </si>
  <si>
    <t>PC10II000254001</t>
  </si>
  <si>
    <t>TBA Làng Yang 3 (IXZ).</t>
  </si>
  <si>
    <t>IC511079</t>
  </si>
  <si>
    <t>PC10II0132195001</t>
  </si>
  <si>
    <t>TBA Tơ Vơn 2 (IAC).</t>
  </si>
  <si>
    <t>IC511083</t>
  </si>
  <si>
    <t>PC10II0132199001</t>
  </si>
  <si>
    <t>TBA Làng KLên (I88).</t>
  </si>
  <si>
    <t>IC511084</t>
  </si>
  <si>
    <t>PC10II0132170001</t>
  </si>
  <si>
    <t>TBA L. Kách Mới (I89).</t>
  </si>
  <si>
    <t>IC511098</t>
  </si>
  <si>
    <t>PC10II0132227001</t>
  </si>
  <si>
    <t>TBA Làng Kon Sơ Bai (IAE)</t>
  </si>
  <si>
    <t>IC511099</t>
  </si>
  <si>
    <t>PC10II0132230001</t>
  </si>
  <si>
    <t>TBA Làng Kon Sơ lăh (IAD)</t>
  </si>
  <si>
    <t>IC511107</t>
  </si>
  <si>
    <t>PC10II0133159001</t>
  </si>
  <si>
    <t>TBA Làng HDe (IYY)</t>
  </si>
  <si>
    <t>IC511109</t>
  </si>
  <si>
    <t>PC10II000274001</t>
  </si>
  <si>
    <t>TBA Làng Yang 2 (IAZ)</t>
  </si>
  <si>
    <t>IC511111</t>
  </si>
  <si>
    <t>PC10II0132551001</t>
  </si>
  <si>
    <t>TBA Làng Te 1 (IAW)</t>
  </si>
  <si>
    <t>IC511116</t>
  </si>
  <si>
    <t>PC10II0132807001</t>
  </si>
  <si>
    <t>TBA Làng O (IOR)</t>
  </si>
  <si>
    <t>IC511117</t>
  </si>
  <si>
    <t>PC10II000282001</t>
  </si>
  <si>
    <t>TBA Làng Óp (IOP)</t>
  </si>
  <si>
    <t>IC511118</t>
  </si>
  <si>
    <t>PC10II000281001</t>
  </si>
  <si>
    <t>TBA Làng Lút (IOQ)</t>
  </si>
  <si>
    <t>IC511119</t>
  </si>
  <si>
    <t>PC10II000272001</t>
  </si>
  <si>
    <t>TBA Làng Lút-Kép (IOO)</t>
  </si>
  <si>
    <t>IC511131</t>
  </si>
  <si>
    <t>PC10II000253001</t>
  </si>
  <si>
    <t>TBA Làng Kép 1(IOL)</t>
  </si>
  <si>
    <t>IC511173</t>
  </si>
  <si>
    <t>PC10IIT000015001</t>
  </si>
  <si>
    <t>TBA  Làng Yar (IYO)</t>
  </si>
  <si>
    <t>IC511174</t>
  </si>
  <si>
    <t>PC10IIT000014001</t>
  </si>
  <si>
    <t>TBA KQH Làng Yar (IYP)</t>
  </si>
  <si>
    <t>IC511175</t>
  </si>
  <si>
    <t>PC10II000245001</t>
  </si>
  <si>
    <t>TBA Làng Xóa (IYS)</t>
  </si>
  <si>
    <t>IC511176</t>
  </si>
  <si>
    <t>PC10IIT000010001</t>
  </si>
  <si>
    <t>TBA  Làng Kó (IYT)</t>
  </si>
  <si>
    <t>IC511178</t>
  </si>
  <si>
    <t>PC10IIT000024001</t>
  </si>
  <si>
    <t>TBA Làng Kó 2 (IYV)</t>
  </si>
  <si>
    <t>IC511238</t>
  </si>
  <si>
    <t>PC10IIT000090001</t>
  </si>
  <si>
    <t>TBA Cầu Làng Yang 3 (I14)</t>
  </si>
  <si>
    <t>IC511282</t>
  </si>
  <si>
    <t>PC10IIT000210001</t>
  </si>
  <si>
    <t>Làng Yang 1 (I42)</t>
  </si>
  <si>
    <t>IC511295</t>
  </si>
  <si>
    <t>PC10II000229001</t>
  </si>
  <si>
    <t>Cầu Làng Yang 3 Số 2 (I54)</t>
  </si>
  <si>
    <t>IC511297</t>
  </si>
  <si>
    <t>PC10II000235001</t>
  </si>
  <si>
    <t>Kon Sơ Lăng 1 (I55)</t>
  </si>
  <si>
    <t>IC511303</t>
  </si>
  <si>
    <t>PC10II000242001</t>
  </si>
  <si>
    <t>Ngã 3 Làng Yang(I61)</t>
  </si>
  <si>
    <t>IC511316</t>
  </si>
  <si>
    <t>PC10II000260001</t>
  </si>
  <si>
    <t>Làng Kép 2 (I72)</t>
  </si>
  <si>
    <t>IC511317</t>
  </si>
  <si>
    <t>PC10II000263001</t>
  </si>
  <si>
    <t>Làng Or số 2 (I76)</t>
  </si>
  <si>
    <t>IC511318</t>
  </si>
  <si>
    <t>PC10II000264001</t>
  </si>
  <si>
    <t>Làng Rồi số 2 (I73)</t>
  </si>
  <si>
    <t>IC511365</t>
  </si>
  <si>
    <t>PC10II000296001</t>
  </si>
  <si>
    <t>TBA LÀNG LÚT 2 ( IAF)</t>
  </si>
  <si>
    <t>IC511366</t>
  </si>
  <si>
    <t>PC10II000297001</t>
  </si>
  <si>
    <t>TBA LÀNG MO CŨ SỐ 2 (IGL)</t>
  </si>
  <si>
    <t>IC511367</t>
  </si>
  <si>
    <t>PC10II000298001</t>
  </si>
  <si>
    <t>TBA Làng Kon Sơ Lăh 2 (IYJ)</t>
  </si>
  <si>
    <t>IC531001</t>
  </si>
  <si>
    <t>PC10II0132125001</t>
  </si>
  <si>
    <t>TBA Nghĩa Hòa (IF8)</t>
  </si>
  <si>
    <t>IC531004</t>
  </si>
  <si>
    <t>PC10II0132109001</t>
  </si>
  <si>
    <t>TBA TT Phú Hòa 2(IXK)</t>
  </si>
  <si>
    <t>IC531009</t>
  </si>
  <si>
    <t>PC10II0132136001</t>
  </si>
  <si>
    <t>TBA NM Chè (I83)</t>
  </si>
  <si>
    <t>IC531012</t>
  </si>
  <si>
    <t>PC10II0132121001</t>
  </si>
  <si>
    <t>TBA TT Phú Hòa 1 (IXH).</t>
  </si>
  <si>
    <t>IC531013</t>
  </si>
  <si>
    <t>PC10II0132226001</t>
  </si>
  <si>
    <t>TBA Hòa Phú (IF7+IAL).</t>
  </si>
  <si>
    <t>IC531014</t>
  </si>
  <si>
    <t>PC10II0132144001</t>
  </si>
  <si>
    <t>TBA IaKhươl (II4).</t>
  </si>
  <si>
    <t>IC531015</t>
  </si>
  <si>
    <t>PC10II0132128001</t>
  </si>
  <si>
    <t>TBA Thôn 4 Hòa Phú (IF4)</t>
  </si>
  <si>
    <t>IC531026</t>
  </si>
  <si>
    <t>PC10II0132479001</t>
  </si>
  <si>
    <t>TBA IaKa (IXC).</t>
  </si>
  <si>
    <t>IC531029</t>
  </si>
  <si>
    <t>PC10II0132127001</t>
  </si>
  <si>
    <t>TBA T2 Hòa Phú (IF6).</t>
  </si>
  <si>
    <t>IC531030</t>
  </si>
  <si>
    <t>PC10II0136537001</t>
  </si>
  <si>
    <t>TBA Đội 7 Xí Nghiệp chè (IYL)</t>
  </si>
  <si>
    <t>IC531032</t>
  </si>
  <si>
    <t>PC10II0132476001</t>
  </si>
  <si>
    <t>TBA Làng Kênh (IXE)</t>
  </si>
  <si>
    <t>IC531033</t>
  </si>
  <si>
    <t>PC10II0132475001</t>
  </si>
  <si>
    <t>TBA Làng Jút (IXF).</t>
  </si>
  <si>
    <t>IC531035</t>
  </si>
  <si>
    <t>PC10II0132191001</t>
  </si>
  <si>
    <t>TBA Tân Lập (II7)</t>
  </si>
  <si>
    <t>IC531042</t>
  </si>
  <si>
    <t>PC10IIT000175001</t>
  </si>
  <si>
    <t>TBA Bơm Chư Păh ((I22)</t>
  </si>
  <si>
    <t>IC531045</t>
  </si>
  <si>
    <t>PC10II0132223001</t>
  </si>
  <si>
    <t>TBA Xã Hà Tây (IXG)</t>
  </si>
  <si>
    <t>IC531046</t>
  </si>
  <si>
    <t>PC10II0132122001</t>
  </si>
  <si>
    <t>TBA Sông Đà 3 (IXI+IXJ).</t>
  </si>
  <si>
    <t>IC531053</t>
  </si>
  <si>
    <t>PC10II0132211001</t>
  </si>
  <si>
    <t>TBA UB xã ĐăkTơVer (IXM).</t>
  </si>
  <si>
    <t>IC531059</t>
  </si>
  <si>
    <t>PC10II0132487001</t>
  </si>
  <si>
    <t>TBA Iamơnông 2 (IX5+IX7).</t>
  </si>
  <si>
    <t>IC531060</t>
  </si>
  <si>
    <t>PC10II0132485001</t>
  </si>
  <si>
    <t>TBA Làng AL (IX4).</t>
  </si>
  <si>
    <t>IC531061</t>
  </si>
  <si>
    <t>PC10II0132486001</t>
  </si>
  <si>
    <t>TBA Làng BLoi (IX2).</t>
  </si>
  <si>
    <t>IC531063</t>
  </si>
  <si>
    <t>PC10II0132489001</t>
  </si>
  <si>
    <t>TBA Iamơnông 1 (IX6)</t>
  </si>
  <si>
    <t>IC531065</t>
  </si>
  <si>
    <t>PC10II0132506001</t>
  </si>
  <si>
    <t>TBA Làng PRét (IX9)</t>
  </si>
  <si>
    <t>IC531069</t>
  </si>
  <si>
    <t>PC10II0132468001</t>
  </si>
  <si>
    <t>Bệnh Viện YaLy (I91+IX3)</t>
  </si>
  <si>
    <t>IC531070</t>
  </si>
  <si>
    <t>PC10II0132470001</t>
  </si>
  <si>
    <t>TBA Sông Đà 11-2 (I92).</t>
  </si>
  <si>
    <t>IC531071</t>
  </si>
  <si>
    <t>PC10II0132472001</t>
  </si>
  <si>
    <t>TBA Cải Tạo 2 (I93).</t>
  </si>
  <si>
    <t>IC531072</t>
  </si>
  <si>
    <t>PC10II0132471001</t>
  </si>
  <si>
    <t>TBA Cải Tạo 1 (I94).</t>
  </si>
  <si>
    <t>IC531073</t>
  </si>
  <si>
    <t>PC10II0132469001</t>
  </si>
  <si>
    <t>TBA Bưu Điện YaLy (I95).</t>
  </si>
  <si>
    <t>IC531074</t>
  </si>
  <si>
    <t>PC10II0132473001</t>
  </si>
  <si>
    <t>TBA Dự án Khu A (I96)</t>
  </si>
  <si>
    <t>IC531075</t>
  </si>
  <si>
    <t>PC10II0132474001</t>
  </si>
  <si>
    <t>TBA Dự án Khu B (I97).</t>
  </si>
  <si>
    <t>IC531076</t>
  </si>
  <si>
    <t>PC10II0132215001</t>
  </si>
  <si>
    <t>TBA Cụm xã Đ.T.Ve (IXU).</t>
  </si>
  <si>
    <t>IC531077</t>
  </si>
  <si>
    <t>PC10II0132141001</t>
  </si>
  <si>
    <t>TBA Làng ALũ N. Hưng (I81).</t>
  </si>
  <si>
    <t>IC531078</t>
  </si>
  <si>
    <t>PC10II0132134001</t>
  </si>
  <si>
    <t>TBA Làng Nhiên (I82).</t>
  </si>
  <si>
    <t>IC531080</t>
  </si>
  <si>
    <t>PC10II0132140001</t>
  </si>
  <si>
    <t>TBA Thôn 1 Nghĩa Hưng (I86).</t>
  </si>
  <si>
    <t>IC531081</t>
  </si>
  <si>
    <t>PC10II0132492001</t>
  </si>
  <si>
    <t>TBA T2 Nghĩa Hưng (I84)</t>
  </si>
  <si>
    <t>IC531082</t>
  </si>
  <si>
    <t>PC10II0132164001</t>
  </si>
  <si>
    <t>TBA Làng Grút (I87).</t>
  </si>
  <si>
    <t>IC531085</t>
  </si>
  <si>
    <t>PC10II0132167001</t>
  </si>
  <si>
    <t>TBA Làng Kách Cũ  (I90).</t>
  </si>
  <si>
    <t>IC531086</t>
  </si>
  <si>
    <t>PC10II0132175001</t>
  </si>
  <si>
    <t>TBA Làng BRách (I98).</t>
  </si>
  <si>
    <t>IC531087</t>
  </si>
  <si>
    <t>PC10II0132142001</t>
  </si>
  <si>
    <t>TBA L. Đại An 2 (I99)</t>
  </si>
  <si>
    <t>IC531088</t>
  </si>
  <si>
    <t>PC10II0132133001</t>
  </si>
  <si>
    <t>TBA Nghĩa Hưng 2 (I80).</t>
  </si>
  <si>
    <t>IC531092</t>
  </si>
  <si>
    <t>PC10II0132126001</t>
  </si>
  <si>
    <t>TBA T3 Hòa Phú (IF5).</t>
  </si>
  <si>
    <t>IC531101</t>
  </si>
  <si>
    <t>PC10II0132135001</t>
  </si>
  <si>
    <t>TBA Nghĩa Hưng 1 (IAG)</t>
  </si>
  <si>
    <t>IC531102</t>
  </si>
  <si>
    <t>PC10II0132480001</t>
  </si>
  <si>
    <t>TBA Làng Bàng (IAH)</t>
  </si>
  <si>
    <t>IC531106</t>
  </si>
  <si>
    <t>PC10II0132231001</t>
  </si>
  <si>
    <t>TBA T6 Nghĩa Hoà (IAM)</t>
  </si>
  <si>
    <t>IC531112</t>
  </si>
  <si>
    <t>PC10II0132649001</t>
  </si>
  <si>
    <t>TBA Khu TT Sê San (IYA)</t>
  </si>
  <si>
    <t>IC531114</t>
  </si>
  <si>
    <t>PC10II0132863001</t>
  </si>
  <si>
    <t>TBA CS Chư Păh (IAS)</t>
  </si>
  <si>
    <t>IC531120</t>
  </si>
  <si>
    <t>PC10II0132866001</t>
  </si>
  <si>
    <t>TBA BTS IaNhin (ION)</t>
  </si>
  <si>
    <t>IC531121</t>
  </si>
  <si>
    <t>PC10II0132864001</t>
  </si>
  <si>
    <t>TBA Ngã 3 Sê San(IOM)</t>
  </si>
  <si>
    <t>IC531122</t>
  </si>
  <si>
    <t>PC10II0132936001</t>
  </si>
  <si>
    <t>TBA Thôn 2 TT Phú Hoà (IOH)</t>
  </si>
  <si>
    <t>IC531125</t>
  </si>
  <si>
    <t>PC10II0132987001</t>
  </si>
  <si>
    <t>TBA T4 TT Phú Hoà (IOA)</t>
  </si>
  <si>
    <t>IC531146</t>
  </si>
  <si>
    <t>PC10II0134146001</t>
  </si>
  <si>
    <t>TBA T8 Nghĩa Hưng (IOG)</t>
  </si>
  <si>
    <t>IC531148</t>
  </si>
  <si>
    <t>PC10II0134526001</t>
  </si>
  <si>
    <t>TBA Tơ Vơn (IOZ)</t>
  </si>
  <si>
    <t>IC531150</t>
  </si>
  <si>
    <t>PC10II0134627001</t>
  </si>
  <si>
    <t>TBA Thôn IaLôk (IAX)</t>
  </si>
  <si>
    <t>IC531151</t>
  </si>
  <si>
    <t>PC10II0134731001</t>
  </si>
  <si>
    <t>TBA Thôn IaSir (IYB )</t>
  </si>
  <si>
    <t>IC531152</t>
  </si>
  <si>
    <t>PC10II0135131001</t>
  </si>
  <si>
    <t>TBA Thôn IaSik (IYC)</t>
  </si>
  <si>
    <t>IC531156</t>
  </si>
  <si>
    <t>PC10II0136218001</t>
  </si>
  <si>
    <t>Làng Juăng (IAT+IYD)</t>
  </si>
  <si>
    <t>IC531157</t>
  </si>
  <si>
    <t>PC10II0136224001</t>
  </si>
  <si>
    <t>TBA Làng BLui IaKa (IYE)</t>
  </si>
  <si>
    <t>IC531158</t>
  </si>
  <si>
    <t>PC10II0136222001</t>
  </si>
  <si>
    <t>TBA Làng Ngó 3 (IYF)</t>
  </si>
  <si>
    <t>IC531159</t>
  </si>
  <si>
    <t>PC10II0136223001</t>
  </si>
  <si>
    <t>TBA Làng Mrông Yố (IYG)</t>
  </si>
  <si>
    <t>IC531160</t>
  </si>
  <si>
    <t>PC10II0136219001</t>
  </si>
  <si>
    <t>TBA Làng BLuk BLui (IYI)</t>
  </si>
  <si>
    <t>IC531162</t>
  </si>
  <si>
    <t>PC10II0136344001</t>
  </si>
  <si>
    <t>TBA TT Phú Hòa 3 (IYK)</t>
  </si>
  <si>
    <t>IC531179</t>
  </si>
  <si>
    <t>PC10IIT000007001</t>
  </si>
  <si>
    <t>TBA UB Chư Đăng Yar (IYX)</t>
  </si>
  <si>
    <t>IC531180</t>
  </si>
  <si>
    <t>PC10IIT000006001</t>
  </si>
  <si>
    <t>TBA UB Chư Jôr (IYQ)</t>
  </si>
  <si>
    <t>IC531184</t>
  </si>
  <si>
    <t>PC10IIT000017001</t>
  </si>
  <si>
    <t>TBA làng Fung (IX1)</t>
  </si>
  <si>
    <t>IC531185</t>
  </si>
  <si>
    <t>PC10IIT000021001</t>
  </si>
  <si>
    <t>TBA Thôn IaSir 1 (IYW)</t>
  </si>
  <si>
    <t>IC531187</t>
  </si>
  <si>
    <t>PC10IIT000018001</t>
  </si>
  <si>
    <t>TBA Làng Ngó 4 (IAI)</t>
  </si>
  <si>
    <t>IC531204</t>
  </si>
  <si>
    <t>PC10IIT000067001</t>
  </si>
  <si>
    <t>TBA Thôn IaSik 1 (IB1)</t>
  </si>
  <si>
    <t>IC531208</t>
  </si>
  <si>
    <t>PC10IIT000069001</t>
  </si>
  <si>
    <t>TBA Làng Kó 1 (IB3)</t>
  </si>
  <si>
    <t>IC531209</t>
  </si>
  <si>
    <t>PC10IIT000071001</t>
  </si>
  <si>
    <t>TBA Ngô Sơn (IB4)</t>
  </si>
  <si>
    <t>IC531210</t>
  </si>
  <si>
    <t>PC10IIT000079001</t>
  </si>
  <si>
    <t>TBA Làng Yar 2 (IB5)</t>
  </si>
  <si>
    <t>IC531212</t>
  </si>
  <si>
    <t>PC10IIT000072001</t>
  </si>
  <si>
    <t>TBA Mrông Yố 2 (IB6)</t>
  </si>
  <si>
    <t>IC531215</t>
  </si>
  <si>
    <t>PC10IIT000073001</t>
  </si>
  <si>
    <t>TBA L.Kênh Chóp (IB7)</t>
  </si>
  <si>
    <t>IC531219</t>
  </si>
  <si>
    <t>PC10IIT000078001</t>
  </si>
  <si>
    <t>TBA Klên 1 (IB9)</t>
  </si>
  <si>
    <t>IC531220</t>
  </si>
  <si>
    <t>PC10IIT000075001</t>
  </si>
  <si>
    <t>TBA T6 Nghĩa Hòa 1 (IE1)</t>
  </si>
  <si>
    <t>IC531221</t>
  </si>
  <si>
    <t>PC10IIT000074001</t>
  </si>
  <si>
    <t>TBA T7 Nghĩa Hòa (IAQ)</t>
  </si>
  <si>
    <t>IC531222</t>
  </si>
  <si>
    <t>PC10IIT000076001</t>
  </si>
  <si>
    <t>TBA Đội 2 XN Chè (IE2)</t>
  </si>
  <si>
    <t>IC531223</t>
  </si>
  <si>
    <t>PC10IIT000084001</t>
  </si>
  <si>
    <t>TBA Thôn 3 Lô 2 Hòa Phú (IE4&amp;IE5)</t>
  </si>
  <si>
    <t>IC531224</t>
  </si>
  <si>
    <t>PC10IIT000083001</t>
  </si>
  <si>
    <t>TBA Ngã 3 Ia Phí (IE6)</t>
  </si>
  <si>
    <t>IC531227</t>
  </si>
  <si>
    <t>PC10IIT000086001</t>
  </si>
  <si>
    <t>TBA Làng Hreng 2 (IE7)</t>
  </si>
  <si>
    <t>IC531228</t>
  </si>
  <si>
    <t>PC10II0000147001</t>
  </si>
  <si>
    <t>TBA Số 5 NT 706 (I05)</t>
  </si>
  <si>
    <t>IC531229</t>
  </si>
  <si>
    <t>PC10II0000150001</t>
  </si>
  <si>
    <t>TBA Số 6 NT 706 (I06)</t>
  </si>
  <si>
    <t>IC531230</t>
  </si>
  <si>
    <t>PC10II0000149001</t>
  </si>
  <si>
    <t>TBA Số 4 NT 706 (I04)</t>
  </si>
  <si>
    <t>IC531231</t>
  </si>
  <si>
    <t>PC10II0000154001</t>
  </si>
  <si>
    <t>TBA Số 9 NT 706 (I09)</t>
  </si>
  <si>
    <t>IC531233</t>
  </si>
  <si>
    <t>PC10II0000152001</t>
  </si>
  <si>
    <t>TBA Số 11 NT 706 (I11)</t>
  </si>
  <si>
    <t>IC531234</t>
  </si>
  <si>
    <t>PC10II0000151001</t>
  </si>
  <si>
    <t>TBA Số 7 NT 706 (I07)</t>
  </si>
  <si>
    <t>IC531235</t>
  </si>
  <si>
    <t>PC10II0000153001</t>
  </si>
  <si>
    <t>TBA Số 10 NT 706 (I10)</t>
  </si>
  <si>
    <t>IC531236</t>
  </si>
  <si>
    <t>PC10IIT000088001</t>
  </si>
  <si>
    <t>TBA Làng Mrông Ngó 4 (I12+I15)</t>
  </si>
  <si>
    <t>IC531237</t>
  </si>
  <si>
    <t>PC10IIT000089001</t>
  </si>
  <si>
    <t>TBA T1 Vườn Mít (I13)</t>
  </si>
  <si>
    <t>IC531247</t>
  </si>
  <si>
    <t>PC10IIT000161001</t>
  </si>
  <si>
    <t>TBA Thôn Ry Ninh (I16)</t>
  </si>
  <si>
    <t>IC531248</t>
  </si>
  <si>
    <t>PC10IIT000162001</t>
  </si>
  <si>
    <t>TBA Làng AMơng (IXS)</t>
  </si>
  <si>
    <t>IC531249</t>
  </si>
  <si>
    <t>PC10IIT000165001</t>
  </si>
  <si>
    <t>TBA Thôn 4-Hòa Phú 1 (I17)</t>
  </si>
  <si>
    <t>IC531250</t>
  </si>
  <si>
    <t>PC10IIT000169001</t>
  </si>
  <si>
    <t>TBA Làng Bui 2_Iaka (I19)</t>
  </si>
  <si>
    <t>IC531251</t>
  </si>
  <si>
    <t>PC10IIT000170001</t>
  </si>
  <si>
    <t>TBA Làng Ju Răng 2 (I20)</t>
  </si>
  <si>
    <t>IC531253</t>
  </si>
  <si>
    <t>PC10IIT000172001</t>
  </si>
  <si>
    <t>TBA Ia Sik 2 (I18)</t>
  </si>
  <si>
    <t>IC531255</t>
  </si>
  <si>
    <t>PC10IIT000177001</t>
  </si>
  <si>
    <t>TBA Quang Trung (I23)</t>
  </si>
  <si>
    <t>IC531258</t>
  </si>
  <si>
    <t>PC10IIT000180001</t>
  </si>
  <si>
    <t>TBA Thôn 2 Nghĩa Hòa (I24 +IAA)</t>
  </si>
  <si>
    <t>IC531259</t>
  </si>
  <si>
    <t>PC10IIT000182001</t>
  </si>
  <si>
    <t>TBA Thôn 9 Nghĩa Hưng (I25)</t>
  </si>
  <si>
    <t>IC531260</t>
  </si>
  <si>
    <t>PC10IIT000185001</t>
  </si>
  <si>
    <t>Làng Bàng 1_XBT</t>
  </si>
  <si>
    <t>IC531265</t>
  </si>
  <si>
    <t>PC10IIT000192001</t>
  </si>
  <si>
    <t>TBA Làng Vân (I29)</t>
  </si>
  <si>
    <t>IC531266</t>
  </si>
  <si>
    <t>PC10IIT000193001</t>
  </si>
  <si>
    <t>TBA 3P Làng Bối 1 (I28)</t>
  </si>
  <si>
    <t>IC531267</t>
  </si>
  <si>
    <t>PC10IIT000194001</t>
  </si>
  <si>
    <t>Thôn 2 Ia Nhin (I30)</t>
  </si>
  <si>
    <t>IC531268</t>
  </si>
  <si>
    <t>PC10IIT000196001</t>
  </si>
  <si>
    <t>Thôn 3 Nghĩa Hòa (I31)</t>
  </si>
  <si>
    <t>IC531271</t>
  </si>
  <si>
    <t>PC10IIT000201001</t>
  </si>
  <si>
    <t>TBA Trường tiểu học Ianhin (I33)</t>
  </si>
  <si>
    <t>IC531272</t>
  </si>
  <si>
    <t>PC10IIT000200001</t>
  </si>
  <si>
    <t>TBA Làng Krái (I34)</t>
  </si>
  <si>
    <t>IC531273</t>
  </si>
  <si>
    <t>PC10IIT000198001</t>
  </si>
  <si>
    <t>TBA KQH Chợ Nghĩa Hưng (I35)</t>
  </si>
  <si>
    <t>IC531274</t>
  </si>
  <si>
    <t>PC10IIT000197001</t>
  </si>
  <si>
    <t>TBA Thôn 3 Nghĩa Hưng (I36)</t>
  </si>
  <si>
    <t>IC531276</t>
  </si>
  <si>
    <t>PC10IIT000205001</t>
  </si>
  <si>
    <t>TBA Chư Jôr 1 (I37)</t>
  </si>
  <si>
    <t>IC531277</t>
  </si>
  <si>
    <t>PC10IIT000206001</t>
  </si>
  <si>
    <t>TBA Đội 4 CS Ianhin (I38)</t>
  </si>
  <si>
    <t>IC531279</t>
  </si>
  <si>
    <t>PC10IIT000208001</t>
  </si>
  <si>
    <t>L. Phung 1 (I40)</t>
  </si>
  <si>
    <t>IC531280</t>
  </si>
  <si>
    <t>PC10IIT000209001</t>
  </si>
  <si>
    <t>Thôn 5 Ia Nhin (I41)</t>
  </si>
  <si>
    <t>IC531284</t>
  </si>
  <si>
    <t>PC10II000218001</t>
  </si>
  <si>
    <t>Làng AL 1 (I44)</t>
  </si>
  <si>
    <t>IC531285</t>
  </si>
  <si>
    <t>PC10II000220001</t>
  </si>
  <si>
    <t>Làng Bloi 1(I45)</t>
  </si>
  <si>
    <t>IC531286</t>
  </si>
  <si>
    <t>PC10II000221001</t>
  </si>
  <si>
    <t>Làng Roih 1 (I46)</t>
  </si>
  <si>
    <t>IC531287</t>
  </si>
  <si>
    <t>PC10II000219001</t>
  </si>
  <si>
    <t>Thôn 5 Nghĩa Hòa 1 (I47)</t>
  </si>
  <si>
    <t>IC531289</t>
  </si>
  <si>
    <t>PC10II000222001</t>
  </si>
  <si>
    <t>Làng Bui Xóm Núi (I48)</t>
  </si>
  <si>
    <t>IC531290</t>
  </si>
  <si>
    <t>PC10II000223001</t>
  </si>
  <si>
    <t>Làng Prét 1 (I49)</t>
  </si>
  <si>
    <t>IC531291</t>
  </si>
  <si>
    <t>PC10II000227001</t>
  </si>
  <si>
    <t>Thôn Đoàn Kết (I50)</t>
  </si>
  <si>
    <t>IC531292</t>
  </si>
  <si>
    <t>PC10II000228001</t>
  </si>
  <si>
    <t>Thôn 7 Ia Nhin (I51)</t>
  </si>
  <si>
    <t>IC531293</t>
  </si>
  <si>
    <t>PC10II000224001</t>
  </si>
  <si>
    <t>L.Bluk Blui 2 (I52)</t>
  </si>
  <si>
    <t>IC531294</t>
  </si>
  <si>
    <t>PC10II000225001</t>
  </si>
  <si>
    <t>L.Mrông Ngó 3 (I53)</t>
  </si>
  <si>
    <t>IC531299</t>
  </si>
  <si>
    <t>PC10II000239001</t>
  </si>
  <si>
    <t>Làng Mông Yố 1 (I57)</t>
  </si>
  <si>
    <t>IC531300</t>
  </si>
  <si>
    <t>PC10II000240001</t>
  </si>
  <si>
    <t>Thôn 1 Ia Nhin (I58)</t>
  </si>
  <si>
    <t>IC531301</t>
  </si>
  <si>
    <t>PC10II000238001</t>
  </si>
  <si>
    <t>Làng Gri (I59)_3Pha</t>
  </si>
  <si>
    <t>IC531302</t>
  </si>
  <si>
    <t>PC10II000241001</t>
  </si>
  <si>
    <t>Thôn 5 Nghĩa Hưng (I60)</t>
  </si>
  <si>
    <t>IC531306</t>
  </si>
  <si>
    <t>PC10II000246001</t>
  </si>
  <si>
    <t>TBA Phan Đình Phùng 1 (I62)</t>
  </si>
  <si>
    <t>IC531307</t>
  </si>
  <si>
    <t>PC10II000255001</t>
  </si>
  <si>
    <t>Ngã Ba Trà Huỳnh (I85)</t>
  </si>
  <si>
    <t>IC531308</t>
  </si>
  <si>
    <t>PC10II000247001</t>
  </si>
  <si>
    <t>Nhà Thờ Nghĩa Hưng (I63)</t>
  </si>
  <si>
    <t>IC531309</t>
  </si>
  <si>
    <t>PC10II000248001</t>
  </si>
  <si>
    <t>Thôn 4 Nghĩa Hưng (I64)</t>
  </si>
  <si>
    <t>IC531310</t>
  </si>
  <si>
    <t>PC10II000249001</t>
  </si>
  <si>
    <t>Làng Vân 2 (I65)</t>
  </si>
  <si>
    <t>IC531311</t>
  </si>
  <si>
    <t>PC10II000250001</t>
  </si>
  <si>
    <t>A Mơng 2 (I66)</t>
  </si>
  <si>
    <t>IC531312</t>
  </si>
  <si>
    <t>PC10II000251001</t>
  </si>
  <si>
    <t>A Mơng 3 (I67)</t>
  </si>
  <si>
    <t>IC531313</t>
  </si>
  <si>
    <t>PC10II000252001</t>
  </si>
  <si>
    <t>Thôn 6 Nghĩa Hòa 2 (I68)</t>
  </si>
  <si>
    <t>IC531314</t>
  </si>
  <si>
    <t>PC10II000256001</t>
  </si>
  <si>
    <t>Thôn 3 TT Phú Hòa (I69)</t>
  </si>
  <si>
    <t>IC531315</t>
  </si>
  <si>
    <t>PC10II000257001</t>
  </si>
  <si>
    <t>Thôn 2 Hòa Phú 1 (I70)</t>
  </si>
  <si>
    <t>IC531316</t>
  </si>
  <si>
    <t>PC10II000258001</t>
  </si>
  <si>
    <t>Thôn 8 Nghĩa Hưng Số 2 (I71)</t>
  </si>
  <si>
    <t>IC531319</t>
  </si>
  <si>
    <t>PC10II000261001</t>
  </si>
  <si>
    <t>Thôn Ry Ninh số 2 (I74)</t>
  </si>
  <si>
    <t>IC531320</t>
  </si>
  <si>
    <t>PC10II000262001</t>
  </si>
  <si>
    <t>Mrông Ngó 4 số 2 (I75)</t>
  </si>
  <si>
    <t>IC531321</t>
  </si>
  <si>
    <t>PC10II000268001</t>
  </si>
  <si>
    <t>Thôn 4, Hòa Phú Số 2 (I77)</t>
  </si>
  <si>
    <t>IC531323</t>
  </si>
  <si>
    <t>PC10II000270001</t>
  </si>
  <si>
    <t>Hùng Vương (IBA)</t>
  </si>
  <si>
    <t>IC531324</t>
  </si>
  <si>
    <t>PC10II000271001</t>
  </si>
  <si>
    <t>Anh Hùng Núp (IBB)</t>
  </si>
  <si>
    <t>IC531342</t>
  </si>
  <si>
    <t>PC10II000273001</t>
  </si>
  <si>
    <t>Mrông Yố 3 (IBC)</t>
  </si>
  <si>
    <t>IC531343</t>
  </si>
  <si>
    <t>PC10II000275001</t>
  </si>
  <si>
    <t>Đội 10 NT 706 (IBD)</t>
  </si>
  <si>
    <t>IC531344</t>
  </si>
  <si>
    <t>PC10II000276001</t>
  </si>
  <si>
    <t>Đội 11 NT 706 (IBE)</t>
  </si>
  <si>
    <t>IC531346</t>
  </si>
  <si>
    <t>PC10II000278001</t>
  </si>
  <si>
    <t>Mrông Ngó 5 (IBG)</t>
  </si>
  <si>
    <t>IC531347</t>
  </si>
  <si>
    <t>PC10II000283001</t>
  </si>
  <si>
    <t>TBA Làng Bốc Grút 2 (IGR)</t>
  </si>
  <si>
    <t>IC531348</t>
  </si>
  <si>
    <t>PC10II000285001</t>
  </si>
  <si>
    <t>TBA Làng Nhiên số 2(IGN)</t>
  </si>
  <si>
    <t>IC531349</t>
  </si>
  <si>
    <t>PC10II0134256001</t>
  </si>
  <si>
    <t>TBA Thôn 7 Nghĩa Hưng(IOX)</t>
  </si>
  <si>
    <t>IC531350</t>
  </si>
  <si>
    <t>PC10II000287001</t>
  </si>
  <si>
    <t>TBA Hà Tây 2(IGG)</t>
  </si>
  <si>
    <t>IC531351</t>
  </si>
  <si>
    <t>PC10II000284001</t>
  </si>
  <si>
    <t>TBA Thôn 2 Hòa Phú số 2(IG7)</t>
  </si>
  <si>
    <t>IC531352</t>
  </si>
  <si>
    <t>PC10II000286001</t>
  </si>
  <si>
    <t>TBA Làng Yố 2- Ia Ka(IY2)</t>
  </si>
  <si>
    <t>IC531355</t>
  </si>
  <si>
    <t>PC10II000288001</t>
  </si>
  <si>
    <t>TBA Thôn 1 Vườn Mít Số 2 (IKA)</t>
  </si>
  <si>
    <t>IC531356</t>
  </si>
  <si>
    <t>PC10II000290001</t>
  </si>
  <si>
    <t>TBA Thôn 6 Nghĩa Hưng (IOY)</t>
  </si>
  <si>
    <t>IC531357</t>
  </si>
  <si>
    <t>PC10II000289001</t>
  </si>
  <si>
    <t>TBA Làng Roih  2 (IWR)</t>
  </si>
  <si>
    <t>IC531358</t>
  </si>
  <si>
    <t>PC10II000291001</t>
  </si>
  <si>
    <t>TBA Trường Chinh- Ia Ly ( IOW)</t>
  </si>
  <si>
    <t>IC531360</t>
  </si>
  <si>
    <t>PC10II000292001</t>
  </si>
  <si>
    <t>TBA Thôn 2 Xã Ia Ka (IK2).</t>
  </si>
  <si>
    <t>IC531361</t>
  </si>
  <si>
    <t>PC10II000293001</t>
  </si>
  <si>
    <t>TBA Làng Xóa số 3(IBY)</t>
  </si>
  <si>
    <t>IC531362</t>
  </si>
  <si>
    <t>PC10II000294001</t>
  </si>
  <si>
    <t>TBA Làng Kon Sơ Lăng 2 (IB8)</t>
  </si>
  <si>
    <t>IC531363</t>
  </si>
  <si>
    <t>PC10II000295001</t>
  </si>
  <si>
    <t>TBA Làng Tuêck 2 (IAB)</t>
  </si>
  <si>
    <t>IC531364</t>
  </si>
  <si>
    <t>PC10II000299001</t>
  </si>
  <si>
    <t>TBA Làng Te số 2 (IAO)</t>
  </si>
  <si>
    <t>IC531365</t>
  </si>
  <si>
    <t>PC10II000301001</t>
  </si>
  <si>
    <t>TBA Làng Hreng 3(IXY)</t>
  </si>
  <si>
    <t>IC531366</t>
  </si>
  <si>
    <t>PC10II000308001</t>
  </si>
  <si>
    <t>TBA Làng Xóa số 2 ( IZ5)</t>
  </si>
  <si>
    <t>IC531367</t>
  </si>
  <si>
    <t>PC10II000302001</t>
  </si>
  <si>
    <t>TBA Làng Yăh (IYN)</t>
  </si>
  <si>
    <t>IC531368</t>
  </si>
  <si>
    <t>PC10II000303001</t>
  </si>
  <si>
    <t>TBA Thôn 5 Ia Nhin số 2(IYM)</t>
  </si>
  <si>
    <t>IC531373</t>
  </si>
  <si>
    <t>PC10II000304001</t>
  </si>
  <si>
    <t>TBA Làng Kép Số 3 (IZ1)</t>
  </si>
  <si>
    <t>IC531374</t>
  </si>
  <si>
    <t>PC10II000305001</t>
  </si>
  <si>
    <t>TBA Nguyễn Thị Minh Khai (IZ2 )</t>
  </si>
  <si>
    <t>IC631024</t>
  </si>
  <si>
    <t>PC10II0132477001</t>
  </si>
  <si>
    <t>TBA IaNhin1 (IXB)</t>
  </si>
  <si>
    <t>IC631025</t>
  </si>
  <si>
    <t>PC10II0132478001</t>
  </si>
  <si>
    <t>TBA Ia Boong (IXA)</t>
  </si>
  <si>
    <t>IC631091</t>
  </si>
  <si>
    <t>PC10II0132484001</t>
  </si>
  <si>
    <t>TBA Làng Bằng Lăng (II3).</t>
  </si>
  <si>
    <t>IC631093</t>
  </si>
  <si>
    <t>PC10II0132120001</t>
  </si>
  <si>
    <t>TBA Làng Kênh N. Hòa (IF9)</t>
  </si>
  <si>
    <t>IC631094</t>
  </si>
  <si>
    <t>PC10II0132482001</t>
  </si>
  <si>
    <t>TBA Làng Dốc 1 (IF0).</t>
  </si>
  <si>
    <t>IC631095</t>
  </si>
  <si>
    <t>PC10II0132483001</t>
  </si>
  <si>
    <t>TBA Làng Dốc 2 (II0)</t>
  </si>
  <si>
    <t>IC631096</t>
  </si>
  <si>
    <t>PC10II0132507001</t>
  </si>
  <si>
    <t>TBA Thôn 5 Nghĩa Hòa (IYZ)</t>
  </si>
  <si>
    <t>IC631103</t>
  </si>
  <si>
    <t>PC10II0132481001</t>
  </si>
  <si>
    <t>TBA IaNhin 2 (IAN)</t>
  </si>
  <si>
    <t>IC631139</t>
  </si>
  <si>
    <t>PC10II0133570001</t>
  </si>
  <si>
    <t>TBA T10 N. Hưng (IOT)</t>
  </si>
  <si>
    <t>IC631141</t>
  </si>
  <si>
    <t>PC10II0133822001</t>
  </si>
  <si>
    <t>TBA Làng KLung (I21)</t>
  </si>
  <si>
    <t>IC631144</t>
  </si>
  <si>
    <t>PC10II0133821001</t>
  </si>
  <si>
    <t>Làng Bui Mới (IOS)</t>
  </si>
  <si>
    <t>IC631149</t>
  </si>
  <si>
    <t>PC10II0134528001</t>
  </si>
  <si>
    <t>TBA Thôn 3 IaNhin (IAY)</t>
  </si>
  <si>
    <t>IC631154</t>
  </si>
  <si>
    <t>PC10II0136345001</t>
  </si>
  <si>
    <t>TBA Làng Bui N. Hưng (II2)</t>
  </si>
  <si>
    <t>IC631202</t>
  </si>
  <si>
    <t>PC10IIT000065001</t>
  </si>
  <si>
    <t>TBA Thôn 10 Nghĩa Hưng 1 (IOJ)</t>
  </si>
  <si>
    <t>IC631203</t>
  </si>
  <si>
    <t>PC10IIT000066001</t>
  </si>
  <si>
    <t>TBA Làng Klung 1 (IOU)</t>
  </si>
  <si>
    <t>IC631205</t>
  </si>
  <si>
    <t>PC10IIT000068001</t>
  </si>
  <si>
    <t>TBA Thôn 3 Ia Nhin 1 (IB2)</t>
  </si>
  <si>
    <t>IC631218</t>
  </si>
  <si>
    <t>PC10IIT000080001</t>
  </si>
  <si>
    <t>TBA Làng Brông (IE3)</t>
  </si>
  <si>
    <t>IC631226</t>
  </si>
  <si>
    <t>PC10IIT000085001</t>
  </si>
  <si>
    <t>TBA IaKreng (IE8)</t>
  </si>
  <si>
    <t>IC631261</t>
  </si>
  <si>
    <t>PC10IIT000187001</t>
  </si>
  <si>
    <t>TBA Ông Miến (I27)</t>
  </si>
  <si>
    <t>IC631270</t>
  </si>
  <si>
    <t>PC10IIT000195001</t>
  </si>
  <si>
    <t>TBA Phan Đình Phùng (I32)</t>
  </si>
  <si>
    <t>IC631278</t>
  </si>
  <si>
    <t>PC10IIT000207001</t>
  </si>
  <si>
    <t>TBA L.Kênh Chóp 1 (I39)</t>
  </si>
  <si>
    <t>IC631283</t>
  </si>
  <si>
    <t>PC10IIT000213001</t>
  </si>
  <si>
    <t>Thôn 3 IaNhin 2 (I43)</t>
  </si>
  <si>
    <t>IC631298</t>
  </si>
  <si>
    <t>PC10II000237001</t>
  </si>
  <si>
    <t>Làng Mun (I56)</t>
  </si>
  <si>
    <t>IC631322</t>
  </si>
  <si>
    <t>PC10II000269001</t>
  </si>
  <si>
    <t>Làng Dip (I78)</t>
  </si>
  <si>
    <t>IC631345</t>
  </si>
  <si>
    <t>PC10II000277001</t>
  </si>
  <si>
    <t>Làng Kép Ia Mơ Nông (IBF)</t>
  </si>
  <si>
    <t>IC631375</t>
  </si>
  <si>
    <t>PC10II000306001</t>
  </si>
  <si>
    <t>TBA Ia Lôk 2 (IZ3)</t>
  </si>
  <si>
    <t>IC631376</t>
  </si>
  <si>
    <t>PC10II000307001</t>
  </si>
  <si>
    <t>TBA Làng Kép 2 Ia Mơ Nông (IZ4)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</si>
</sst>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5A9C"/>
        <bgColor rgb="FF005A9C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" fontId="0" fillId="0" borderId="0" xfId="0" applyNumberFormat="1"/>
  </cellXfs>
  <cellStyles count="1">
    <cellStyle name="Normal" xfId="0" builtinId="0"/>
  </cellStyles>
  <dxfs count="3">
    <dxf>
      <fill>
        <patternFill>
          <bgColor theme="3" tint="0.59996337778862885"/>
        </patternFill>
      </fill>
    </dxf>
    <dxf>
      <fill>
        <patternFill>
          <bgColor theme="4"/>
        </patternFill>
      </fill>
    </dxf>
    <dxf>
      <fill>
        <patternFill>
          <bgColor theme="3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"/>
  <sheetViews>
    <sheetView tabSelected="1" topLeftCell="B221" workbookViewId="0">
      <selection activeCell="K239" sqref="K239"/>
    </sheetView>
  </sheetViews>
  <sheetFormatPr defaultRowHeight="14.5" x14ac:dyDescent="0.35"/>
  <cols>
    <col min="1" max="1" width="7.26953125" customWidth="1"/>
    <col min="2" max="2" width="12" customWidth="1"/>
    <col min="3" max="3" width="19" customWidth="1"/>
    <col min="4" max="4" width="36" customWidth="1"/>
    <col min="5" max="5" width="15" customWidth="1"/>
    <col min="6" max="6" width="13" customWidth="1"/>
    <col min="7" max="7" width="12" customWidth="1"/>
    <col min="8" max="9" width="13.1796875" customWidth="1"/>
    <col min="10" max="10" width="16.26953125" customWidth="1"/>
    <col min="11" max="11" width="9.81640625" bestFit="1" customWidth="1"/>
  </cols>
  <sheetData>
    <row r="1" spans="1:11" s="5" customFormat="1" ht="2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1" x14ac:dyDescent="0.35">
      <c r="A2" s="1">
        <v>1</v>
      </c>
      <c r="B2" s="2" t="s">
        <v>10</v>
      </c>
      <c r="C2" s="2" t="s">
        <v>11</v>
      </c>
      <c r="D2" s="2" t="s">
        <v>12</v>
      </c>
      <c r="E2" s="3">
        <v>4929.1887999999999</v>
      </c>
      <c r="F2" s="3">
        <v>4933.0397999999996</v>
      </c>
      <c r="G2" s="3">
        <v>30</v>
      </c>
      <c r="H2" s="3">
        <v>115.53</v>
      </c>
      <c r="I2" s="3">
        <v>112.15</v>
      </c>
      <c r="J2" s="3">
        <v>0</v>
      </c>
      <c r="K2">
        <f>IF(H2&lt;=I2,I2,H2)</f>
        <v>115.53</v>
      </c>
    </row>
    <row r="3" spans="1:11" x14ac:dyDescent="0.35">
      <c r="A3" s="1">
        <v>2</v>
      </c>
      <c r="B3" s="2" t="s">
        <v>13</v>
      </c>
      <c r="C3" s="2" t="s">
        <v>14</v>
      </c>
      <c r="D3" s="2" t="s">
        <v>15</v>
      </c>
      <c r="E3" s="3">
        <v>12135.125400000001</v>
      </c>
      <c r="F3" s="3">
        <v>12151.8912</v>
      </c>
      <c r="G3" s="3">
        <v>50</v>
      </c>
      <c r="H3" s="3">
        <v>838.29</v>
      </c>
      <c r="I3" s="3">
        <v>809.48</v>
      </c>
      <c r="J3" s="3">
        <v>0</v>
      </c>
      <c r="K3">
        <f t="shared" ref="K3:K66" si="0">IF(H3&lt;=I3,I3,H3)</f>
        <v>838.29</v>
      </c>
    </row>
    <row r="4" spans="1:11" x14ac:dyDescent="0.35">
      <c r="A4" s="1">
        <v>3</v>
      </c>
      <c r="B4" s="2" t="s">
        <v>16</v>
      </c>
      <c r="C4" s="2" t="s">
        <v>17</v>
      </c>
      <c r="D4" s="2" t="s">
        <v>18</v>
      </c>
      <c r="E4" s="3">
        <v>6188.2222000000002</v>
      </c>
      <c r="F4" s="3">
        <v>6189.0424000000003</v>
      </c>
      <c r="G4" s="3">
        <v>30</v>
      </c>
      <c r="H4" s="3">
        <v>24.61</v>
      </c>
      <c r="I4" s="3">
        <v>41.49</v>
      </c>
      <c r="J4" s="3">
        <v>0</v>
      </c>
      <c r="K4">
        <f t="shared" si="0"/>
        <v>41.49</v>
      </c>
    </row>
    <row r="5" spans="1:11" x14ac:dyDescent="0.35">
      <c r="A5" s="1">
        <v>4</v>
      </c>
      <c r="B5" s="2" t="s">
        <v>19</v>
      </c>
      <c r="C5" s="2" t="s">
        <v>20</v>
      </c>
      <c r="D5" s="2" t="s">
        <v>21</v>
      </c>
      <c r="E5" s="3">
        <v>19310.21</v>
      </c>
      <c r="F5" s="3">
        <v>19315.21</v>
      </c>
      <c r="G5" s="3">
        <v>40</v>
      </c>
      <c r="H5" s="3">
        <v>200</v>
      </c>
      <c r="I5" s="3">
        <v>201.98</v>
      </c>
      <c r="J5" s="3">
        <v>0</v>
      </c>
      <c r="K5">
        <f t="shared" si="0"/>
        <v>201.98</v>
      </c>
    </row>
    <row r="6" spans="1:11" x14ac:dyDescent="0.35">
      <c r="A6" s="1">
        <v>5</v>
      </c>
      <c r="B6" s="2" t="s">
        <v>22</v>
      </c>
      <c r="C6" s="2" t="s">
        <v>23</v>
      </c>
      <c r="D6" s="2" t="s">
        <v>24</v>
      </c>
      <c r="E6" s="3">
        <v>10004.1548</v>
      </c>
      <c r="F6" s="3">
        <v>10017.619199999999</v>
      </c>
      <c r="G6" s="3">
        <v>30</v>
      </c>
      <c r="H6" s="3">
        <v>403.93</v>
      </c>
      <c r="I6" s="3">
        <v>387.59</v>
      </c>
      <c r="J6" s="3">
        <v>0</v>
      </c>
      <c r="K6">
        <f t="shared" si="0"/>
        <v>403.93</v>
      </c>
    </row>
    <row r="7" spans="1:11" x14ac:dyDescent="0.35">
      <c r="A7" s="1">
        <v>6</v>
      </c>
      <c r="B7" s="2" t="s">
        <v>25</v>
      </c>
      <c r="C7" s="2" t="s">
        <v>26</v>
      </c>
      <c r="D7" s="2" t="s">
        <v>27</v>
      </c>
      <c r="E7" s="3">
        <v>6602.3068000000003</v>
      </c>
      <c r="F7" s="3">
        <v>6606.5780000000004</v>
      </c>
      <c r="G7" s="3">
        <v>20</v>
      </c>
      <c r="H7" s="3">
        <v>85.42</v>
      </c>
      <c r="I7" s="3">
        <v>419.63</v>
      </c>
      <c r="J7" s="3">
        <v>0</v>
      </c>
      <c r="K7">
        <f t="shared" si="0"/>
        <v>419.63</v>
      </c>
    </row>
    <row r="8" spans="1:11" x14ac:dyDescent="0.35">
      <c r="A8" s="1">
        <v>7</v>
      </c>
      <c r="B8" s="2" t="s">
        <v>28</v>
      </c>
      <c r="C8" s="2" t="s">
        <v>29</v>
      </c>
      <c r="D8" s="2" t="s">
        <v>30</v>
      </c>
      <c r="E8" s="3">
        <v>12096.5828</v>
      </c>
      <c r="F8" s="3">
        <v>12113.308000000001</v>
      </c>
      <c r="G8" s="3">
        <v>30</v>
      </c>
      <c r="H8" s="3">
        <v>501.76</v>
      </c>
      <c r="I8" s="3">
        <v>484.79</v>
      </c>
      <c r="J8" s="3">
        <v>0</v>
      </c>
      <c r="K8">
        <f t="shared" si="0"/>
        <v>501.76</v>
      </c>
    </row>
    <row r="9" spans="1:11" x14ac:dyDescent="0.35">
      <c r="A9" s="1">
        <v>8</v>
      </c>
      <c r="B9" s="2" t="s">
        <v>31</v>
      </c>
      <c r="C9" s="2" t="s">
        <v>32</v>
      </c>
      <c r="D9" s="2" t="s">
        <v>33</v>
      </c>
      <c r="E9" s="3">
        <v>4217.9489999999996</v>
      </c>
      <c r="F9" s="3">
        <v>4223.0829999999996</v>
      </c>
      <c r="G9" s="3">
        <v>30</v>
      </c>
      <c r="H9" s="3">
        <v>154.02000000000001</v>
      </c>
      <c r="I9" s="3">
        <v>350.04</v>
      </c>
      <c r="J9" s="3">
        <v>0</v>
      </c>
      <c r="K9">
        <f t="shared" si="0"/>
        <v>350.04</v>
      </c>
    </row>
    <row r="10" spans="1:11" x14ac:dyDescent="0.35">
      <c r="A10" s="1">
        <v>9</v>
      </c>
      <c r="B10" s="2" t="s">
        <v>34</v>
      </c>
      <c r="C10" s="2" t="s">
        <v>35</v>
      </c>
      <c r="D10" s="2" t="s">
        <v>36</v>
      </c>
      <c r="E10" s="3">
        <v>3122.3375999999998</v>
      </c>
      <c r="F10" s="3">
        <v>3132.1552000000001</v>
      </c>
      <c r="G10" s="3">
        <v>30</v>
      </c>
      <c r="H10" s="3">
        <v>294.52999999999997</v>
      </c>
      <c r="I10" s="3">
        <v>354.24</v>
      </c>
      <c r="J10" s="3">
        <v>0</v>
      </c>
      <c r="K10">
        <f t="shared" si="0"/>
        <v>354.24</v>
      </c>
    </row>
    <row r="11" spans="1:11" x14ac:dyDescent="0.35">
      <c r="A11" s="1">
        <v>10</v>
      </c>
      <c r="B11" s="2" t="s">
        <v>37</v>
      </c>
      <c r="C11" s="2" t="s">
        <v>38</v>
      </c>
      <c r="D11" s="2" t="s">
        <v>39</v>
      </c>
      <c r="E11" s="3">
        <v>3682.8858</v>
      </c>
      <c r="F11" s="3">
        <v>3688.3175999999999</v>
      </c>
      <c r="G11" s="3">
        <v>20</v>
      </c>
      <c r="H11" s="3">
        <v>108.64</v>
      </c>
      <c r="I11" s="3">
        <v>307.48</v>
      </c>
      <c r="J11" s="3">
        <v>0</v>
      </c>
      <c r="K11">
        <f t="shared" si="0"/>
        <v>307.48</v>
      </c>
    </row>
    <row r="12" spans="1:11" x14ac:dyDescent="0.35">
      <c r="A12" s="1">
        <v>11</v>
      </c>
      <c r="B12" s="2" t="s">
        <v>40</v>
      </c>
      <c r="C12" s="2" t="s">
        <v>41</v>
      </c>
      <c r="D12" s="2" t="s">
        <v>42</v>
      </c>
      <c r="E12" s="3">
        <v>5586.8262000000004</v>
      </c>
      <c r="F12" s="3">
        <v>5594.8720000000003</v>
      </c>
      <c r="G12" s="3">
        <v>15</v>
      </c>
      <c r="H12" s="3">
        <v>120.69</v>
      </c>
      <c r="I12" s="3">
        <v>305.89</v>
      </c>
      <c r="J12" s="3">
        <v>0</v>
      </c>
      <c r="K12">
        <f t="shared" si="0"/>
        <v>305.89</v>
      </c>
    </row>
    <row r="13" spans="1:11" x14ac:dyDescent="0.35">
      <c r="A13" s="1">
        <v>12</v>
      </c>
      <c r="B13" s="2" t="s">
        <v>43</v>
      </c>
      <c r="C13" s="2" t="s">
        <v>44</v>
      </c>
      <c r="D13" s="2" t="s">
        <v>45</v>
      </c>
      <c r="E13" s="3">
        <v>11048.819600000001</v>
      </c>
      <c r="F13" s="3">
        <v>11068.448200000001</v>
      </c>
      <c r="G13" s="3">
        <v>20</v>
      </c>
      <c r="H13" s="3">
        <v>392.57</v>
      </c>
      <c r="I13" s="3">
        <v>474.2</v>
      </c>
      <c r="J13" s="3">
        <v>0</v>
      </c>
      <c r="K13">
        <f t="shared" si="0"/>
        <v>474.2</v>
      </c>
    </row>
    <row r="14" spans="1:11" x14ac:dyDescent="0.35">
      <c r="A14" s="1">
        <v>13</v>
      </c>
      <c r="B14" s="2" t="s">
        <v>46</v>
      </c>
      <c r="C14" s="2" t="s">
        <v>47</v>
      </c>
      <c r="D14" s="2" t="s">
        <v>48</v>
      </c>
      <c r="E14" s="3">
        <v>15444.3958</v>
      </c>
      <c r="F14" s="3">
        <v>15452.5458</v>
      </c>
      <c r="G14" s="3">
        <v>30</v>
      </c>
      <c r="H14" s="3">
        <v>244.5</v>
      </c>
      <c r="I14" s="3">
        <v>243.24</v>
      </c>
      <c r="J14" s="3">
        <v>0</v>
      </c>
      <c r="K14">
        <f t="shared" si="0"/>
        <v>244.5</v>
      </c>
    </row>
    <row r="15" spans="1:11" x14ac:dyDescent="0.35">
      <c r="A15" s="1">
        <v>14</v>
      </c>
      <c r="B15" s="2" t="s">
        <v>49</v>
      </c>
      <c r="C15" s="2" t="s">
        <v>50</v>
      </c>
      <c r="D15" s="2" t="s">
        <v>51</v>
      </c>
      <c r="E15" s="3">
        <v>3250.9209999999998</v>
      </c>
      <c r="F15" s="3">
        <v>3257.3274000000001</v>
      </c>
      <c r="G15" s="3">
        <v>20</v>
      </c>
      <c r="H15" s="3">
        <v>128.13</v>
      </c>
      <c r="I15" s="3">
        <v>158.47</v>
      </c>
      <c r="J15" s="3">
        <v>0</v>
      </c>
      <c r="K15">
        <f t="shared" si="0"/>
        <v>158.47</v>
      </c>
    </row>
    <row r="16" spans="1:11" x14ac:dyDescent="0.35">
      <c r="A16" s="1">
        <v>15</v>
      </c>
      <c r="B16" s="2" t="s">
        <v>52</v>
      </c>
      <c r="C16" s="2" t="s">
        <v>53</v>
      </c>
      <c r="D16" s="2" t="s">
        <v>54</v>
      </c>
      <c r="E16" s="3">
        <v>5876.5321999999996</v>
      </c>
      <c r="F16" s="3">
        <v>5878.7175999999999</v>
      </c>
      <c r="G16" s="3">
        <v>30</v>
      </c>
      <c r="H16" s="3">
        <v>65.56</v>
      </c>
      <c r="I16" s="3">
        <v>147.49</v>
      </c>
      <c r="J16" s="3">
        <v>0</v>
      </c>
      <c r="K16">
        <f t="shared" si="0"/>
        <v>147.49</v>
      </c>
    </row>
    <row r="17" spans="1:11" x14ac:dyDescent="0.35">
      <c r="A17" s="1">
        <v>16</v>
      </c>
      <c r="B17" s="2" t="s">
        <v>55</v>
      </c>
      <c r="C17" s="2" t="s">
        <v>56</v>
      </c>
      <c r="D17" s="2" t="s">
        <v>57</v>
      </c>
      <c r="E17" s="3">
        <v>7143.8032000000003</v>
      </c>
      <c r="F17" s="3">
        <v>7150.9943999999996</v>
      </c>
      <c r="G17" s="3">
        <v>50</v>
      </c>
      <c r="H17" s="3">
        <v>359.56</v>
      </c>
      <c r="I17" s="3">
        <v>346.46</v>
      </c>
      <c r="J17" s="3">
        <v>0</v>
      </c>
      <c r="K17">
        <f t="shared" si="0"/>
        <v>359.56</v>
      </c>
    </row>
    <row r="18" spans="1:11" x14ac:dyDescent="0.35">
      <c r="A18" s="1">
        <v>17</v>
      </c>
      <c r="B18" s="2" t="s">
        <v>58</v>
      </c>
      <c r="C18" s="2" t="s">
        <v>59</v>
      </c>
      <c r="D18" s="2" t="s">
        <v>60</v>
      </c>
      <c r="E18" s="3">
        <v>4623.2936</v>
      </c>
      <c r="F18" s="3">
        <v>4629.5649999999996</v>
      </c>
      <c r="G18" s="3">
        <v>50</v>
      </c>
      <c r="H18" s="3">
        <v>313.57</v>
      </c>
      <c r="I18" s="3">
        <v>302.29000000000002</v>
      </c>
      <c r="J18" s="3">
        <v>0</v>
      </c>
      <c r="K18">
        <f t="shared" si="0"/>
        <v>313.57</v>
      </c>
    </row>
    <row r="19" spans="1:11" x14ac:dyDescent="0.35">
      <c r="A19" s="1">
        <v>18</v>
      </c>
      <c r="B19" s="2" t="s">
        <v>61</v>
      </c>
      <c r="C19" s="2" t="s">
        <v>62</v>
      </c>
      <c r="D19" s="2" t="s">
        <v>63</v>
      </c>
      <c r="E19" s="3">
        <v>10828.006600000001</v>
      </c>
      <c r="F19" s="3">
        <v>10837.346600000001</v>
      </c>
      <c r="G19" s="3">
        <v>15</v>
      </c>
      <c r="H19" s="3">
        <v>140.1</v>
      </c>
      <c r="I19" s="3">
        <v>134.38</v>
      </c>
      <c r="J19" s="3">
        <v>0</v>
      </c>
      <c r="K19">
        <f t="shared" si="0"/>
        <v>140.1</v>
      </c>
    </row>
    <row r="20" spans="1:11" x14ac:dyDescent="0.35">
      <c r="A20" s="1">
        <v>19</v>
      </c>
      <c r="B20" s="2" t="s">
        <v>64</v>
      </c>
      <c r="C20" s="2" t="s">
        <v>65</v>
      </c>
      <c r="D20" s="2" t="s">
        <v>66</v>
      </c>
      <c r="E20" s="3">
        <v>10307.1</v>
      </c>
      <c r="F20" s="3">
        <v>10314.450000000001</v>
      </c>
      <c r="G20" s="3">
        <v>15</v>
      </c>
      <c r="H20" s="3">
        <v>110.25</v>
      </c>
      <c r="I20" s="3">
        <v>356.7</v>
      </c>
      <c r="J20" s="3">
        <v>0</v>
      </c>
      <c r="K20">
        <f t="shared" si="0"/>
        <v>356.7</v>
      </c>
    </row>
    <row r="21" spans="1:11" x14ac:dyDescent="0.35">
      <c r="A21" s="1">
        <v>20</v>
      </c>
      <c r="B21" s="2" t="s">
        <v>67</v>
      </c>
      <c r="C21" s="2" t="s">
        <v>68</v>
      </c>
      <c r="D21" s="2" t="s">
        <v>69</v>
      </c>
      <c r="E21" s="3">
        <v>463.03859999999997</v>
      </c>
      <c r="F21" s="3">
        <v>469.73739999999998</v>
      </c>
      <c r="G21" s="3">
        <v>15</v>
      </c>
      <c r="H21" s="3">
        <v>100.48</v>
      </c>
      <c r="I21" s="3">
        <v>97.91</v>
      </c>
      <c r="J21" s="3">
        <v>0</v>
      </c>
      <c r="K21">
        <f t="shared" si="0"/>
        <v>100.48</v>
      </c>
    </row>
    <row r="22" spans="1:11" x14ac:dyDescent="0.35">
      <c r="A22" s="1">
        <v>21</v>
      </c>
      <c r="B22" s="2" t="s">
        <v>70</v>
      </c>
      <c r="C22" s="2" t="s">
        <v>71</v>
      </c>
      <c r="D22" s="2" t="s">
        <v>72</v>
      </c>
      <c r="E22" s="3">
        <v>3785.7507999999998</v>
      </c>
      <c r="F22" s="3">
        <v>3793.7105999999999</v>
      </c>
      <c r="G22" s="3">
        <v>15</v>
      </c>
      <c r="H22" s="3">
        <v>119.4</v>
      </c>
      <c r="I22" s="3">
        <v>264.73</v>
      </c>
      <c r="J22" s="3">
        <v>0</v>
      </c>
      <c r="K22">
        <f t="shared" si="0"/>
        <v>264.73</v>
      </c>
    </row>
    <row r="23" spans="1:11" x14ac:dyDescent="0.35">
      <c r="A23" s="1">
        <v>22</v>
      </c>
      <c r="B23" s="2" t="s">
        <v>73</v>
      </c>
      <c r="C23" s="2" t="s">
        <v>74</v>
      </c>
      <c r="D23" s="2" t="s">
        <v>75</v>
      </c>
      <c r="E23" s="3">
        <v>14151.605600000001</v>
      </c>
      <c r="F23" s="3">
        <v>14175.5288</v>
      </c>
      <c r="G23" s="3">
        <v>15</v>
      </c>
      <c r="H23" s="3">
        <v>358.85</v>
      </c>
      <c r="I23" s="3">
        <v>341.19</v>
      </c>
      <c r="J23" s="3">
        <v>0</v>
      </c>
      <c r="K23">
        <f t="shared" si="0"/>
        <v>358.85</v>
      </c>
    </row>
    <row r="24" spans="1:11" x14ac:dyDescent="0.35">
      <c r="A24" s="1">
        <v>23</v>
      </c>
      <c r="B24" s="2" t="s">
        <v>76</v>
      </c>
      <c r="C24" s="2" t="s">
        <v>77</v>
      </c>
      <c r="D24" s="2" t="s">
        <v>78</v>
      </c>
      <c r="E24" s="3">
        <v>751.1096</v>
      </c>
      <c r="F24" s="3">
        <v>762.58</v>
      </c>
      <c r="G24" s="3">
        <v>15</v>
      </c>
      <c r="H24" s="3">
        <v>172.06</v>
      </c>
      <c r="I24" s="3">
        <v>163.89</v>
      </c>
      <c r="J24" s="3">
        <v>0</v>
      </c>
      <c r="K24">
        <f t="shared" si="0"/>
        <v>172.06</v>
      </c>
    </row>
    <row r="25" spans="1:11" x14ac:dyDescent="0.35">
      <c r="A25" s="1">
        <v>24</v>
      </c>
      <c r="B25" s="2" t="s">
        <v>79</v>
      </c>
      <c r="C25" s="2" t="s">
        <v>80</v>
      </c>
      <c r="D25" s="2" t="s">
        <v>81</v>
      </c>
      <c r="E25" s="3">
        <v>1845.3656000000001</v>
      </c>
      <c r="F25" s="3">
        <v>1845.4775999999999</v>
      </c>
      <c r="G25" s="3">
        <v>20</v>
      </c>
      <c r="H25" s="3">
        <v>2.2400000000000002</v>
      </c>
      <c r="I25" s="3">
        <v>17.21</v>
      </c>
      <c r="J25" s="3">
        <v>0</v>
      </c>
      <c r="K25">
        <f t="shared" si="0"/>
        <v>17.21</v>
      </c>
    </row>
    <row r="26" spans="1:11" x14ac:dyDescent="0.35">
      <c r="A26" s="1">
        <v>25</v>
      </c>
      <c r="B26" s="2" t="s">
        <v>82</v>
      </c>
      <c r="C26" s="2" t="s">
        <v>83</v>
      </c>
      <c r="D26" s="2" t="s">
        <v>84</v>
      </c>
      <c r="E26" s="3">
        <v>1262.1541999999999</v>
      </c>
      <c r="F26" s="3">
        <v>1263.6284000000001</v>
      </c>
      <c r="G26" s="3">
        <v>40</v>
      </c>
      <c r="H26" s="3">
        <v>58.97</v>
      </c>
      <c r="I26" s="3">
        <v>56.09</v>
      </c>
      <c r="J26" s="3">
        <v>0</v>
      </c>
      <c r="K26">
        <f t="shared" si="0"/>
        <v>58.97</v>
      </c>
    </row>
    <row r="27" spans="1:11" x14ac:dyDescent="0.35">
      <c r="A27" s="1">
        <v>26</v>
      </c>
      <c r="B27" s="2" t="s">
        <v>85</v>
      </c>
      <c r="C27" s="2" t="s">
        <v>86</v>
      </c>
      <c r="D27" s="2" t="s">
        <v>87</v>
      </c>
      <c r="E27" s="3">
        <v>448148.54519999999</v>
      </c>
      <c r="F27" s="3">
        <v>448304.07799999998</v>
      </c>
      <c r="G27" s="3">
        <v>1</v>
      </c>
      <c r="H27" s="3">
        <v>155.53</v>
      </c>
      <c r="I27" s="3">
        <v>147.91999999999999</v>
      </c>
      <c r="J27" s="3">
        <v>0</v>
      </c>
      <c r="K27">
        <f t="shared" si="0"/>
        <v>155.53</v>
      </c>
    </row>
    <row r="28" spans="1:11" x14ac:dyDescent="0.35">
      <c r="A28" s="1">
        <v>27</v>
      </c>
      <c r="B28" s="2" t="s">
        <v>88</v>
      </c>
      <c r="C28" s="2" t="s">
        <v>89</v>
      </c>
      <c r="D28" s="2" t="s">
        <v>90</v>
      </c>
      <c r="E28" s="3">
        <v>1649.595</v>
      </c>
      <c r="F28" s="3">
        <v>1651.1569999999999</v>
      </c>
      <c r="G28" s="3">
        <v>30</v>
      </c>
      <c r="H28" s="3">
        <v>46.86</v>
      </c>
      <c r="I28" s="3">
        <v>3436.88</v>
      </c>
      <c r="J28" s="3">
        <v>0</v>
      </c>
      <c r="K28">
        <f t="shared" si="0"/>
        <v>3436.88</v>
      </c>
    </row>
    <row r="29" spans="1:11" x14ac:dyDescent="0.35">
      <c r="A29" s="1">
        <v>28</v>
      </c>
      <c r="B29" s="2" t="s">
        <v>91</v>
      </c>
      <c r="C29" s="2" t="s">
        <v>92</v>
      </c>
      <c r="D29" s="2" t="s">
        <v>93</v>
      </c>
      <c r="E29" s="3">
        <v>2506.8249999999998</v>
      </c>
      <c r="F29" s="3">
        <v>2509.2501999999999</v>
      </c>
      <c r="G29" s="3">
        <v>30</v>
      </c>
      <c r="H29" s="3">
        <v>72.760000000000005</v>
      </c>
      <c r="I29" s="3">
        <v>206.16</v>
      </c>
      <c r="J29" s="3">
        <v>0</v>
      </c>
      <c r="K29">
        <f t="shared" si="0"/>
        <v>206.16</v>
      </c>
    </row>
    <row r="30" spans="1:11" x14ac:dyDescent="0.35">
      <c r="A30" s="1">
        <v>29</v>
      </c>
      <c r="B30" s="2" t="s">
        <v>94</v>
      </c>
      <c r="C30" s="2" t="s">
        <v>95</v>
      </c>
      <c r="D30" s="2" t="s">
        <v>96</v>
      </c>
      <c r="E30" s="3">
        <v>1829.9186</v>
      </c>
      <c r="F30" s="3">
        <v>1830.5554</v>
      </c>
      <c r="G30" s="3">
        <v>15</v>
      </c>
      <c r="H30" s="3">
        <v>9.5500000000000007</v>
      </c>
      <c r="I30" s="3">
        <v>22.21</v>
      </c>
      <c r="J30" s="3">
        <v>0</v>
      </c>
      <c r="K30">
        <f t="shared" si="0"/>
        <v>22.21</v>
      </c>
    </row>
    <row r="31" spans="1:11" x14ac:dyDescent="0.35">
      <c r="A31" s="1">
        <v>30</v>
      </c>
      <c r="B31" s="2" t="s">
        <v>97</v>
      </c>
      <c r="C31" s="2" t="s">
        <v>98</v>
      </c>
      <c r="D31" s="2" t="s">
        <v>99</v>
      </c>
      <c r="E31" s="3">
        <v>4187.7133999999996</v>
      </c>
      <c r="F31" s="3">
        <v>4187.7327999999998</v>
      </c>
      <c r="G31" s="3">
        <v>15</v>
      </c>
      <c r="H31" s="3">
        <v>0.28999999999999998</v>
      </c>
      <c r="I31" s="3">
        <v>12.05</v>
      </c>
      <c r="J31" s="3">
        <v>0</v>
      </c>
      <c r="K31">
        <f t="shared" si="0"/>
        <v>12.05</v>
      </c>
    </row>
    <row r="32" spans="1:11" x14ac:dyDescent="0.35">
      <c r="A32" s="1">
        <v>31</v>
      </c>
      <c r="B32" s="2" t="s">
        <v>100</v>
      </c>
      <c r="C32" s="2" t="s">
        <v>101</v>
      </c>
      <c r="D32" s="2" t="s">
        <v>102</v>
      </c>
      <c r="E32" s="3">
        <v>767.12980000000005</v>
      </c>
      <c r="F32" s="3">
        <v>769.98800000000006</v>
      </c>
      <c r="G32" s="3">
        <v>30</v>
      </c>
      <c r="H32" s="3">
        <v>85.75</v>
      </c>
      <c r="I32" s="3">
        <v>160.09</v>
      </c>
      <c r="J32" s="3">
        <v>0</v>
      </c>
      <c r="K32">
        <f t="shared" si="0"/>
        <v>160.09</v>
      </c>
    </row>
    <row r="33" spans="1:11" x14ac:dyDescent="0.35">
      <c r="A33" s="1">
        <v>32</v>
      </c>
      <c r="B33" s="2" t="s">
        <v>103</v>
      </c>
      <c r="C33" s="2" t="s">
        <v>104</v>
      </c>
      <c r="D33" s="2" t="s">
        <v>105</v>
      </c>
      <c r="E33" s="3">
        <v>3672.3836000000001</v>
      </c>
      <c r="F33" s="3">
        <v>3674.9776000000002</v>
      </c>
      <c r="G33" s="3">
        <v>40</v>
      </c>
      <c r="H33" s="3">
        <v>103.76</v>
      </c>
      <c r="I33" s="3">
        <v>100.5</v>
      </c>
      <c r="J33" s="3">
        <v>0</v>
      </c>
      <c r="K33">
        <f t="shared" si="0"/>
        <v>103.76</v>
      </c>
    </row>
    <row r="34" spans="1:11" x14ac:dyDescent="0.35">
      <c r="A34" s="1">
        <v>33</v>
      </c>
      <c r="B34" s="2" t="s">
        <v>106</v>
      </c>
      <c r="C34" s="2" t="s">
        <v>107</v>
      </c>
      <c r="D34" s="2" t="s">
        <v>108</v>
      </c>
      <c r="E34" s="3">
        <v>4748.9984000000004</v>
      </c>
      <c r="F34" s="3">
        <v>4754.2726000000002</v>
      </c>
      <c r="G34" s="3">
        <v>30</v>
      </c>
      <c r="H34" s="3">
        <v>158.22999999999999</v>
      </c>
      <c r="I34" s="3">
        <v>216.65</v>
      </c>
      <c r="J34" s="3">
        <v>0</v>
      </c>
      <c r="K34">
        <f t="shared" si="0"/>
        <v>216.65</v>
      </c>
    </row>
    <row r="35" spans="1:11" x14ac:dyDescent="0.35">
      <c r="A35" s="1">
        <v>34</v>
      </c>
      <c r="B35" s="2" t="s">
        <v>109</v>
      </c>
      <c r="C35" s="2" t="s">
        <v>110</v>
      </c>
      <c r="D35" s="2" t="s">
        <v>111</v>
      </c>
      <c r="E35" s="3">
        <v>4275.4394000000002</v>
      </c>
      <c r="F35" s="3">
        <v>4281.2592000000004</v>
      </c>
      <c r="G35" s="3">
        <v>20</v>
      </c>
      <c r="H35" s="3">
        <v>116.4</v>
      </c>
      <c r="I35" s="3">
        <v>365.21</v>
      </c>
      <c r="J35" s="3">
        <v>0</v>
      </c>
      <c r="K35">
        <f t="shared" si="0"/>
        <v>365.21</v>
      </c>
    </row>
    <row r="36" spans="1:11" x14ac:dyDescent="0.35">
      <c r="A36" s="1">
        <v>35</v>
      </c>
      <c r="B36" s="2" t="s">
        <v>112</v>
      </c>
      <c r="C36" s="2" t="s">
        <v>113</v>
      </c>
      <c r="D36" s="2" t="s">
        <v>114</v>
      </c>
      <c r="E36" s="3">
        <v>17699.6908</v>
      </c>
      <c r="F36" s="3">
        <v>17702.322800000002</v>
      </c>
      <c r="G36" s="3">
        <v>40</v>
      </c>
      <c r="H36" s="3">
        <v>105.28</v>
      </c>
      <c r="I36" s="3">
        <v>101.81</v>
      </c>
      <c r="J36" s="3">
        <v>0</v>
      </c>
      <c r="K36">
        <f t="shared" si="0"/>
        <v>105.28</v>
      </c>
    </row>
    <row r="37" spans="1:11" x14ac:dyDescent="0.35">
      <c r="A37" s="1">
        <v>36</v>
      </c>
      <c r="B37" s="2" t="s">
        <v>115</v>
      </c>
      <c r="C37" s="2" t="s">
        <v>116</v>
      </c>
      <c r="D37" s="2" t="s">
        <v>117</v>
      </c>
      <c r="E37" s="3">
        <v>4693.7266</v>
      </c>
      <c r="F37" s="3">
        <v>4696.2767999999996</v>
      </c>
      <c r="G37" s="3">
        <v>15</v>
      </c>
      <c r="H37" s="3">
        <v>38.25</v>
      </c>
      <c r="I37" s="3">
        <v>69.63</v>
      </c>
      <c r="J37" s="3">
        <v>0</v>
      </c>
      <c r="K37">
        <f t="shared" si="0"/>
        <v>69.63</v>
      </c>
    </row>
    <row r="38" spans="1:11" x14ac:dyDescent="0.35">
      <c r="A38" s="1">
        <v>37</v>
      </c>
      <c r="B38" s="2" t="s">
        <v>118</v>
      </c>
      <c r="C38" s="2" t="s">
        <v>119</v>
      </c>
      <c r="D38" s="2" t="s">
        <v>120</v>
      </c>
      <c r="E38" s="3">
        <v>3967.2217999999998</v>
      </c>
      <c r="F38" s="3">
        <v>3971.5171999999998</v>
      </c>
      <c r="G38" s="3">
        <v>50</v>
      </c>
      <c r="H38" s="3">
        <v>214.77</v>
      </c>
      <c r="I38" s="3">
        <v>208.56</v>
      </c>
      <c r="J38" s="3">
        <v>0</v>
      </c>
      <c r="K38">
        <f t="shared" si="0"/>
        <v>214.77</v>
      </c>
    </row>
    <row r="39" spans="1:11" x14ac:dyDescent="0.35">
      <c r="A39" s="1">
        <v>38</v>
      </c>
      <c r="B39" s="2" t="s">
        <v>121</v>
      </c>
      <c r="C39" s="2" t="s">
        <v>122</v>
      </c>
      <c r="D39" s="2" t="s">
        <v>123</v>
      </c>
      <c r="E39" s="3">
        <v>1869.9469999999999</v>
      </c>
      <c r="F39" s="3">
        <v>1871.1081999999999</v>
      </c>
      <c r="G39" s="3">
        <v>30</v>
      </c>
      <c r="H39" s="3">
        <v>34.840000000000003</v>
      </c>
      <c r="I39" s="3">
        <v>42.22</v>
      </c>
      <c r="J39" s="3">
        <v>0</v>
      </c>
      <c r="K39">
        <f t="shared" si="0"/>
        <v>42.22</v>
      </c>
    </row>
    <row r="40" spans="1:11" x14ac:dyDescent="0.35">
      <c r="A40" s="1">
        <v>39</v>
      </c>
      <c r="B40" s="2" t="s">
        <v>124</v>
      </c>
      <c r="C40" s="2" t="s">
        <v>125</v>
      </c>
      <c r="D40" s="2" t="s">
        <v>126</v>
      </c>
      <c r="E40" s="3">
        <v>599.65380000000005</v>
      </c>
      <c r="F40" s="3">
        <v>600.78719999999998</v>
      </c>
      <c r="G40" s="3">
        <v>15</v>
      </c>
      <c r="H40" s="3">
        <v>17</v>
      </c>
      <c r="I40" s="3">
        <v>36.520000000000003</v>
      </c>
      <c r="J40" s="3">
        <v>0</v>
      </c>
      <c r="K40">
        <f t="shared" si="0"/>
        <v>36.520000000000003</v>
      </c>
    </row>
    <row r="41" spans="1:11" x14ac:dyDescent="0.35">
      <c r="A41" s="1">
        <v>40</v>
      </c>
      <c r="B41" s="2" t="s">
        <v>127</v>
      </c>
      <c r="C41" s="2" t="s">
        <v>128</v>
      </c>
      <c r="D41" s="2" t="s">
        <v>129</v>
      </c>
      <c r="E41" s="3">
        <v>2907.2683999999999</v>
      </c>
      <c r="F41" s="3">
        <v>2909.1743999999999</v>
      </c>
      <c r="G41" s="3">
        <v>80</v>
      </c>
      <c r="H41" s="3">
        <v>152.47999999999999</v>
      </c>
      <c r="I41" s="3">
        <v>147.43</v>
      </c>
      <c r="J41" s="3">
        <v>0</v>
      </c>
      <c r="K41">
        <f t="shared" si="0"/>
        <v>152.47999999999999</v>
      </c>
    </row>
    <row r="42" spans="1:11" x14ac:dyDescent="0.35">
      <c r="A42" s="1">
        <v>41</v>
      </c>
      <c r="B42" s="2" t="s">
        <v>130</v>
      </c>
      <c r="C42" s="2" t="s">
        <v>131</v>
      </c>
      <c r="D42" s="2" t="s">
        <v>132</v>
      </c>
      <c r="E42" s="3">
        <v>2847.944</v>
      </c>
      <c r="F42" s="3">
        <v>2850.2710000000002</v>
      </c>
      <c r="G42" s="3">
        <v>50</v>
      </c>
      <c r="H42" s="3">
        <v>116.35</v>
      </c>
      <c r="I42" s="3">
        <v>113.31</v>
      </c>
      <c r="J42" s="3">
        <v>0</v>
      </c>
      <c r="K42">
        <f t="shared" si="0"/>
        <v>116.35</v>
      </c>
    </row>
    <row r="43" spans="1:11" x14ac:dyDescent="0.35">
      <c r="A43" s="1">
        <v>42</v>
      </c>
      <c r="B43" s="2" t="s">
        <v>133</v>
      </c>
      <c r="C43" s="2" t="s">
        <v>134</v>
      </c>
      <c r="D43" s="2" t="s">
        <v>135</v>
      </c>
      <c r="E43" s="3">
        <v>7388.7012000000004</v>
      </c>
      <c r="F43" s="3">
        <v>7398.0810000000001</v>
      </c>
      <c r="G43" s="3">
        <v>20</v>
      </c>
      <c r="H43" s="3">
        <v>187.6</v>
      </c>
      <c r="I43" s="3">
        <v>181.08</v>
      </c>
      <c r="J43" s="3">
        <v>0</v>
      </c>
      <c r="K43">
        <f t="shared" si="0"/>
        <v>187.6</v>
      </c>
    </row>
    <row r="44" spans="1:11" x14ac:dyDescent="0.35">
      <c r="A44" s="1">
        <v>43</v>
      </c>
      <c r="B44" s="2" t="s">
        <v>136</v>
      </c>
      <c r="C44" s="2" t="s">
        <v>137</v>
      </c>
      <c r="D44" s="2" t="s">
        <v>138</v>
      </c>
      <c r="E44" s="3">
        <v>12626.299199999999</v>
      </c>
      <c r="F44" s="3">
        <v>12647.967199999999</v>
      </c>
      <c r="G44" s="3">
        <v>20</v>
      </c>
      <c r="H44" s="3">
        <v>433.36</v>
      </c>
      <c r="I44" s="3">
        <v>416.59</v>
      </c>
      <c r="J44" s="3">
        <v>0</v>
      </c>
      <c r="K44">
        <f t="shared" si="0"/>
        <v>433.36</v>
      </c>
    </row>
    <row r="45" spans="1:11" x14ac:dyDescent="0.35">
      <c r="A45" s="1">
        <v>44</v>
      </c>
      <c r="B45" s="2" t="s">
        <v>139</v>
      </c>
      <c r="C45" s="2" t="s">
        <v>140</v>
      </c>
      <c r="D45" s="2" t="s">
        <v>141</v>
      </c>
      <c r="E45" s="3">
        <v>3749.2343999999998</v>
      </c>
      <c r="F45" s="3">
        <v>3752.9607999999998</v>
      </c>
      <c r="G45" s="3">
        <v>20</v>
      </c>
      <c r="H45" s="3">
        <v>74.53</v>
      </c>
      <c r="I45" s="3">
        <v>71.28</v>
      </c>
      <c r="J45" s="3">
        <v>0</v>
      </c>
      <c r="K45">
        <f t="shared" si="0"/>
        <v>74.53</v>
      </c>
    </row>
    <row r="46" spans="1:11" x14ac:dyDescent="0.35">
      <c r="A46" s="1">
        <v>45</v>
      </c>
      <c r="B46" s="2" t="s">
        <v>142</v>
      </c>
      <c r="C46" s="2" t="s">
        <v>143</v>
      </c>
      <c r="D46" s="2" t="s">
        <v>144</v>
      </c>
      <c r="E46" s="3">
        <v>1976.4821999999999</v>
      </c>
      <c r="F46" s="3">
        <v>1979.6754000000001</v>
      </c>
      <c r="G46" s="3">
        <v>20</v>
      </c>
      <c r="H46" s="3">
        <v>63.86</v>
      </c>
      <c r="I46" s="3">
        <v>62.12</v>
      </c>
      <c r="J46" s="3">
        <v>0</v>
      </c>
      <c r="K46">
        <f t="shared" si="0"/>
        <v>63.86</v>
      </c>
    </row>
    <row r="47" spans="1:11" x14ac:dyDescent="0.35">
      <c r="A47" s="1">
        <v>46</v>
      </c>
      <c r="B47" s="2" t="s">
        <v>145</v>
      </c>
      <c r="C47" s="2" t="s">
        <v>146</v>
      </c>
      <c r="D47" s="2" t="s">
        <v>147</v>
      </c>
      <c r="E47" s="3">
        <v>5813.0392000000002</v>
      </c>
      <c r="F47" s="3">
        <v>5822.8818000000001</v>
      </c>
      <c r="G47" s="3">
        <v>15</v>
      </c>
      <c r="H47" s="3">
        <v>147.63999999999999</v>
      </c>
      <c r="I47" s="3">
        <v>141.94999999999999</v>
      </c>
      <c r="J47" s="3">
        <v>0</v>
      </c>
      <c r="K47">
        <f t="shared" si="0"/>
        <v>147.63999999999999</v>
      </c>
    </row>
    <row r="48" spans="1:11" x14ac:dyDescent="0.35">
      <c r="A48" s="1">
        <v>47</v>
      </c>
      <c r="B48" s="2" t="s">
        <v>148</v>
      </c>
      <c r="C48" s="2" t="s">
        <v>149</v>
      </c>
      <c r="D48" s="2" t="s">
        <v>150</v>
      </c>
      <c r="E48" s="3">
        <v>46292.89</v>
      </c>
      <c r="F48" s="3">
        <v>46296.63</v>
      </c>
      <c r="G48" s="3">
        <v>160</v>
      </c>
      <c r="H48" s="3">
        <v>598.4</v>
      </c>
      <c r="I48" s="3">
        <v>1433.94</v>
      </c>
      <c r="J48" s="3">
        <v>46.55</v>
      </c>
      <c r="K48">
        <f t="shared" si="0"/>
        <v>1433.94</v>
      </c>
    </row>
    <row r="49" spans="1:11" x14ac:dyDescent="0.35">
      <c r="A49" s="1">
        <v>48</v>
      </c>
      <c r="B49" s="2" t="s">
        <v>151</v>
      </c>
      <c r="C49" s="2" t="s">
        <v>152</v>
      </c>
      <c r="D49" s="2" t="s">
        <v>153</v>
      </c>
      <c r="E49" s="3">
        <v>49330.080000000002</v>
      </c>
      <c r="F49" s="3">
        <v>49340.07</v>
      </c>
      <c r="G49" s="3">
        <v>50</v>
      </c>
      <c r="H49" s="3">
        <v>499.5</v>
      </c>
      <c r="I49" s="3">
        <v>1231.32</v>
      </c>
      <c r="J49" s="3">
        <v>0</v>
      </c>
      <c r="K49">
        <f t="shared" si="0"/>
        <v>1231.32</v>
      </c>
    </row>
    <row r="50" spans="1:11" x14ac:dyDescent="0.35">
      <c r="A50" s="1">
        <v>49</v>
      </c>
      <c r="B50" s="2" t="s">
        <v>154</v>
      </c>
      <c r="C50" s="2" t="s">
        <v>155</v>
      </c>
      <c r="D50" s="2" t="s">
        <v>156</v>
      </c>
      <c r="E50" s="3">
        <v>51383.55</v>
      </c>
      <c r="F50" s="3">
        <v>51386.39</v>
      </c>
      <c r="G50" s="3">
        <v>120</v>
      </c>
      <c r="H50" s="3">
        <v>340.8</v>
      </c>
      <c r="I50" s="3">
        <v>919.09</v>
      </c>
      <c r="J50" s="3">
        <v>158.47</v>
      </c>
      <c r="K50">
        <f t="shared" si="0"/>
        <v>919.09</v>
      </c>
    </row>
    <row r="51" spans="1:11" x14ac:dyDescent="0.35">
      <c r="A51" s="1">
        <v>50</v>
      </c>
      <c r="B51" s="2" t="s">
        <v>157</v>
      </c>
      <c r="C51" s="2" t="s">
        <v>158</v>
      </c>
      <c r="D51" s="2" t="s">
        <v>159</v>
      </c>
      <c r="E51" s="3">
        <v>40338.629999999997</v>
      </c>
      <c r="F51" s="3">
        <v>40345.65</v>
      </c>
      <c r="G51" s="3">
        <v>120</v>
      </c>
      <c r="H51" s="3">
        <v>842.4</v>
      </c>
      <c r="I51" s="3">
        <v>2463.79</v>
      </c>
      <c r="J51" s="3">
        <v>268.70999999999998</v>
      </c>
      <c r="K51">
        <f t="shared" si="0"/>
        <v>2463.79</v>
      </c>
    </row>
    <row r="52" spans="1:11" x14ac:dyDescent="0.35">
      <c r="A52" s="1">
        <v>51</v>
      </c>
      <c r="B52" s="2" t="s">
        <v>160</v>
      </c>
      <c r="C52" s="2" t="s">
        <v>161</v>
      </c>
      <c r="D52" s="2" t="s">
        <v>162</v>
      </c>
      <c r="E52" s="3">
        <v>113102.34</v>
      </c>
      <c r="F52" s="3">
        <v>113121.58</v>
      </c>
      <c r="G52" s="3">
        <v>30</v>
      </c>
      <c r="H52" s="3">
        <v>577.20000000000005</v>
      </c>
      <c r="I52" s="3">
        <v>1184.6400000000001</v>
      </c>
      <c r="J52" s="3">
        <v>0</v>
      </c>
      <c r="K52">
        <f t="shared" si="0"/>
        <v>1184.6400000000001</v>
      </c>
    </row>
    <row r="53" spans="1:11" x14ac:dyDescent="0.35">
      <c r="A53" s="1">
        <v>52</v>
      </c>
      <c r="B53" s="2" t="s">
        <v>163</v>
      </c>
      <c r="C53" s="2" t="s">
        <v>164</v>
      </c>
      <c r="D53" s="2" t="s">
        <v>165</v>
      </c>
      <c r="E53" s="3">
        <v>53349.86</v>
      </c>
      <c r="F53" s="3">
        <v>53354.87</v>
      </c>
      <c r="G53" s="3">
        <v>50</v>
      </c>
      <c r="H53" s="3">
        <v>250.5</v>
      </c>
      <c r="I53" s="3">
        <v>1700.42</v>
      </c>
      <c r="J53" s="3">
        <v>230.36</v>
      </c>
      <c r="K53">
        <f t="shared" si="0"/>
        <v>1700.42</v>
      </c>
    </row>
    <row r="54" spans="1:11" x14ac:dyDescent="0.35">
      <c r="A54" s="1">
        <v>53</v>
      </c>
      <c r="B54" s="2" t="s">
        <v>166</v>
      </c>
      <c r="C54" s="2" t="s">
        <v>167</v>
      </c>
      <c r="D54" s="2" t="s">
        <v>168</v>
      </c>
      <c r="E54" s="3">
        <v>54502.96</v>
      </c>
      <c r="F54" s="3">
        <v>54513.85</v>
      </c>
      <c r="G54" s="3">
        <v>80</v>
      </c>
      <c r="H54" s="3">
        <v>871.2</v>
      </c>
      <c r="I54" s="3">
        <v>2098.36</v>
      </c>
      <c r="J54" s="3">
        <v>58.13</v>
      </c>
      <c r="K54">
        <f t="shared" si="0"/>
        <v>2098.36</v>
      </c>
    </row>
    <row r="55" spans="1:11" x14ac:dyDescent="0.35">
      <c r="A55" s="1">
        <v>54</v>
      </c>
      <c r="B55" s="2" t="s">
        <v>169</v>
      </c>
      <c r="C55" s="2" t="s">
        <v>170</v>
      </c>
      <c r="D55" s="2" t="s">
        <v>171</v>
      </c>
      <c r="E55" s="3">
        <v>21197.058000000001</v>
      </c>
      <c r="F55" s="3">
        <v>21210.976299999998</v>
      </c>
      <c r="G55" s="3">
        <v>80</v>
      </c>
      <c r="H55" s="3">
        <v>1113.46</v>
      </c>
      <c r="I55" s="3">
        <v>1413.71</v>
      </c>
      <c r="J55" s="3">
        <v>335.27</v>
      </c>
      <c r="K55">
        <f t="shared" si="0"/>
        <v>1413.71</v>
      </c>
    </row>
    <row r="56" spans="1:11" x14ac:dyDescent="0.35">
      <c r="A56" s="1">
        <v>55</v>
      </c>
      <c r="B56" s="2" t="s">
        <v>172</v>
      </c>
      <c r="C56" s="2" t="s">
        <v>173</v>
      </c>
      <c r="D56" s="2" t="s">
        <v>174</v>
      </c>
      <c r="E56" s="3">
        <v>8638.7075999999997</v>
      </c>
      <c r="F56" s="3">
        <v>8651.8176000000003</v>
      </c>
      <c r="G56" s="3">
        <v>50</v>
      </c>
      <c r="H56" s="3">
        <v>655.5</v>
      </c>
      <c r="I56" s="3">
        <v>1000.99</v>
      </c>
      <c r="J56" s="3">
        <v>572.39</v>
      </c>
      <c r="K56">
        <f t="shared" si="0"/>
        <v>1000.99</v>
      </c>
    </row>
    <row r="57" spans="1:11" x14ac:dyDescent="0.35">
      <c r="A57" s="1">
        <v>56</v>
      </c>
      <c r="B57" s="2" t="s">
        <v>175</v>
      </c>
      <c r="C57" s="2" t="s">
        <v>176</v>
      </c>
      <c r="D57" s="2" t="s">
        <v>177</v>
      </c>
      <c r="E57" s="3">
        <v>22219.707200000001</v>
      </c>
      <c r="F57" s="3">
        <v>22222.170300000002</v>
      </c>
      <c r="G57" s="3">
        <v>50</v>
      </c>
      <c r="H57" s="3">
        <v>123.16</v>
      </c>
      <c r="I57" s="3">
        <v>75.150000000000006</v>
      </c>
      <c r="J57" s="3">
        <v>0</v>
      </c>
      <c r="K57">
        <f t="shared" si="0"/>
        <v>123.16</v>
      </c>
    </row>
    <row r="58" spans="1:11" x14ac:dyDescent="0.35">
      <c r="A58" s="1">
        <v>57</v>
      </c>
      <c r="B58" s="2" t="s">
        <v>178</v>
      </c>
      <c r="C58" s="2" t="s">
        <v>179</v>
      </c>
      <c r="D58" s="2" t="s">
        <v>180</v>
      </c>
      <c r="E58" s="3">
        <v>0</v>
      </c>
      <c r="F58" s="3">
        <v>0</v>
      </c>
      <c r="G58" s="3">
        <v>50</v>
      </c>
      <c r="H58" s="3">
        <v>0</v>
      </c>
      <c r="I58" s="3">
        <v>1075.1199999999999</v>
      </c>
      <c r="J58" s="3">
        <v>0</v>
      </c>
      <c r="K58">
        <f t="shared" si="0"/>
        <v>1075.1199999999999</v>
      </c>
    </row>
    <row r="59" spans="1:11" x14ac:dyDescent="0.35">
      <c r="A59" s="1">
        <v>58</v>
      </c>
      <c r="B59" s="2" t="s">
        <v>181</v>
      </c>
      <c r="C59" s="2" t="s">
        <v>182</v>
      </c>
      <c r="D59" s="2" t="s">
        <v>183</v>
      </c>
      <c r="E59" s="3">
        <v>0</v>
      </c>
      <c r="F59" s="3">
        <v>0</v>
      </c>
      <c r="G59" s="3">
        <v>15</v>
      </c>
      <c r="H59" s="3">
        <v>0</v>
      </c>
      <c r="I59" s="3">
        <v>379.36</v>
      </c>
      <c r="J59" s="3">
        <v>0</v>
      </c>
      <c r="K59">
        <f t="shared" si="0"/>
        <v>379.36</v>
      </c>
    </row>
    <row r="60" spans="1:11" x14ac:dyDescent="0.35">
      <c r="A60" s="1">
        <v>59</v>
      </c>
      <c r="B60" s="2" t="s">
        <v>184</v>
      </c>
      <c r="C60" s="2" t="s">
        <v>185</v>
      </c>
      <c r="D60" s="2" t="s">
        <v>186</v>
      </c>
      <c r="E60" s="3">
        <v>46141.403400000003</v>
      </c>
      <c r="F60" s="3">
        <v>46168.715799999998</v>
      </c>
      <c r="G60" s="3">
        <v>50</v>
      </c>
      <c r="H60" s="3">
        <v>1365.62</v>
      </c>
      <c r="I60" s="3">
        <v>1354.26</v>
      </c>
      <c r="J60" s="3">
        <v>0</v>
      </c>
      <c r="K60">
        <f t="shared" si="0"/>
        <v>1365.62</v>
      </c>
    </row>
    <row r="61" spans="1:11" x14ac:dyDescent="0.35">
      <c r="A61" s="1">
        <v>60</v>
      </c>
      <c r="B61" s="2" t="s">
        <v>187</v>
      </c>
      <c r="C61" s="2" t="s">
        <v>188</v>
      </c>
      <c r="D61" s="2" t="s">
        <v>189</v>
      </c>
      <c r="E61" s="3">
        <v>73177.039999999994</v>
      </c>
      <c r="F61" s="3">
        <v>73185.58</v>
      </c>
      <c r="G61" s="3">
        <v>60</v>
      </c>
      <c r="H61" s="3">
        <v>512.4</v>
      </c>
      <c r="I61" s="3">
        <v>1108.1500000000001</v>
      </c>
      <c r="J61" s="3">
        <v>0</v>
      </c>
      <c r="K61">
        <f t="shared" si="0"/>
        <v>1108.1500000000001</v>
      </c>
    </row>
    <row r="62" spans="1:11" x14ac:dyDescent="0.35">
      <c r="A62" s="1">
        <v>61</v>
      </c>
      <c r="B62" s="2" t="s">
        <v>190</v>
      </c>
      <c r="C62" s="2" t="s">
        <v>191</v>
      </c>
      <c r="D62" s="2" t="s">
        <v>192</v>
      </c>
      <c r="E62" s="3">
        <v>72421.638399999996</v>
      </c>
      <c r="F62" s="3">
        <v>72444.738400000002</v>
      </c>
      <c r="G62" s="3">
        <v>40</v>
      </c>
      <c r="H62" s="3">
        <v>924</v>
      </c>
      <c r="I62" s="3">
        <v>898.57</v>
      </c>
      <c r="J62" s="3">
        <v>0</v>
      </c>
      <c r="K62">
        <f t="shared" si="0"/>
        <v>924</v>
      </c>
    </row>
    <row r="63" spans="1:11" x14ac:dyDescent="0.35">
      <c r="A63" s="1">
        <v>62</v>
      </c>
      <c r="B63" s="2" t="s">
        <v>193</v>
      </c>
      <c r="C63" s="2" t="s">
        <v>194</v>
      </c>
      <c r="D63" s="2" t="s">
        <v>195</v>
      </c>
      <c r="E63" s="3">
        <v>45480</v>
      </c>
      <c r="F63" s="3">
        <v>45489.31</v>
      </c>
      <c r="G63" s="3">
        <v>80</v>
      </c>
      <c r="H63" s="3">
        <v>744.8</v>
      </c>
      <c r="I63" s="3">
        <v>1838.97</v>
      </c>
      <c r="J63" s="3">
        <v>119.29</v>
      </c>
      <c r="K63">
        <f t="shared" si="0"/>
        <v>1838.97</v>
      </c>
    </row>
    <row r="64" spans="1:11" x14ac:dyDescent="0.35">
      <c r="A64" s="1">
        <v>63</v>
      </c>
      <c r="B64" s="2" t="s">
        <v>196</v>
      </c>
      <c r="C64" s="2" t="s">
        <v>197</v>
      </c>
      <c r="D64" s="2" t="s">
        <v>198</v>
      </c>
      <c r="E64" s="3">
        <v>39689.269999999997</v>
      </c>
      <c r="F64" s="3">
        <v>39695.89</v>
      </c>
      <c r="G64" s="3">
        <v>30</v>
      </c>
      <c r="H64" s="3">
        <v>198.6</v>
      </c>
      <c r="I64" s="3">
        <v>432.61</v>
      </c>
      <c r="J64" s="3">
        <v>0</v>
      </c>
      <c r="K64">
        <f t="shared" si="0"/>
        <v>432.61</v>
      </c>
    </row>
    <row r="65" spans="1:11" x14ac:dyDescent="0.35">
      <c r="A65" s="1">
        <v>64</v>
      </c>
      <c r="B65" s="2" t="s">
        <v>199</v>
      </c>
      <c r="C65" s="2" t="s">
        <v>200</v>
      </c>
      <c r="D65" s="2" t="s">
        <v>201</v>
      </c>
      <c r="E65" s="3">
        <v>23460.32</v>
      </c>
      <c r="F65" s="3">
        <v>23461.32</v>
      </c>
      <c r="G65" s="3">
        <v>80</v>
      </c>
      <c r="H65" s="3">
        <v>80</v>
      </c>
      <c r="I65" s="3">
        <v>182.25</v>
      </c>
      <c r="J65" s="3">
        <v>0</v>
      </c>
      <c r="K65">
        <f t="shared" si="0"/>
        <v>182.25</v>
      </c>
    </row>
    <row r="66" spans="1:11" x14ac:dyDescent="0.35">
      <c r="A66" s="1">
        <v>65</v>
      </c>
      <c r="B66" s="2" t="s">
        <v>202</v>
      </c>
      <c r="C66" s="2" t="s">
        <v>203</v>
      </c>
      <c r="D66" s="2" t="s">
        <v>204</v>
      </c>
      <c r="E66" s="3">
        <v>23393.98</v>
      </c>
      <c r="F66" s="3">
        <v>23396.33</v>
      </c>
      <c r="G66" s="3">
        <v>80</v>
      </c>
      <c r="H66" s="3">
        <v>188</v>
      </c>
      <c r="I66" s="3">
        <v>419.74</v>
      </c>
      <c r="J66" s="3">
        <v>0</v>
      </c>
      <c r="K66">
        <f t="shared" si="0"/>
        <v>419.74</v>
      </c>
    </row>
    <row r="67" spans="1:11" x14ac:dyDescent="0.35">
      <c r="A67" s="1">
        <v>66</v>
      </c>
      <c r="B67" s="2" t="s">
        <v>205</v>
      </c>
      <c r="C67" s="2" t="s">
        <v>206</v>
      </c>
      <c r="D67" s="2" t="s">
        <v>207</v>
      </c>
      <c r="E67" s="3">
        <v>6094.4930000000004</v>
      </c>
      <c r="F67" s="3">
        <v>6101.2731999999996</v>
      </c>
      <c r="G67" s="3">
        <v>50</v>
      </c>
      <c r="H67" s="3">
        <v>339.01</v>
      </c>
      <c r="I67" s="3">
        <v>333.41</v>
      </c>
      <c r="J67" s="3">
        <v>0</v>
      </c>
      <c r="K67">
        <f t="shared" ref="K67:K130" si="1">IF(H67&lt;=I67,I67,H67)</f>
        <v>339.01</v>
      </c>
    </row>
    <row r="68" spans="1:11" x14ac:dyDescent="0.35">
      <c r="A68" s="1">
        <v>67</v>
      </c>
      <c r="B68" s="2" t="s">
        <v>208</v>
      </c>
      <c r="C68" s="2" t="s">
        <v>209</v>
      </c>
      <c r="D68" s="2" t="s">
        <v>210</v>
      </c>
      <c r="E68" s="3">
        <v>49069.146099999998</v>
      </c>
      <c r="F68" s="3">
        <v>49080.265599999999</v>
      </c>
      <c r="G68" s="3">
        <v>80</v>
      </c>
      <c r="H68" s="3">
        <v>889.56</v>
      </c>
      <c r="I68" s="3">
        <v>898.73</v>
      </c>
      <c r="J68" s="3">
        <v>0</v>
      </c>
      <c r="K68">
        <f t="shared" si="1"/>
        <v>898.73</v>
      </c>
    </row>
    <row r="69" spans="1:11" x14ac:dyDescent="0.35">
      <c r="A69" s="1">
        <v>68</v>
      </c>
      <c r="B69" s="2" t="s">
        <v>211</v>
      </c>
      <c r="C69" s="2" t="s">
        <v>212</v>
      </c>
      <c r="D69" s="2" t="s">
        <v>213</v>
      </c>
      <c r="E69" s="3">
        <v>17670.330000000002</v>
      </c>
      <c r="F69" s="3">
        <v>17672.78</v>
      </c>
      <c r="G69" s="3">
        <v>50</v>
      </c>
      <c r="H69" s="3">
        <v>122.5</v>
      </c>
      <c r="I69" s="3">
        <v>254.26</v>
      </c>
      <c r="J69" s="3">
        <v>0</v>
      </c>
      <c r="K69">
        <f t="shared" si="1"/>
        <v>254.26</v>
      </c>
    </row>
    <row r="70" spans="1:11" x14ac:dyDescent="0.35">
      <c r="A70" s="1">
        <v>69</v>
      </c>
      <c r="B70" s="2" t="s">
        <v>214</v>
      </c>
      <c r="C70" s="2" t="s">
        <v>215</v>
      </c>
      <c r="D70" s="2" t="s">
        <v>216</v>
      </c>
      <c r="E70" s="3">
        <v>25851.57</v>
      </c>
      <c r="F70" s="3">
        <v>25855.16</v>
      </c>
      <c r="G70" s="3">
        <v>100</v>
      </c>
      <c r="H70" s="3">
        <v>359</v>
      </c>
      <c r="I70" s="3">
        <v>1135.68</v>
      </c>
      <c r="J70" s="3">
        <v>169.75</v>
      </c>
      <c r="K70">
        <f t="shared" si="1"/>
        <v>1135.68</v>
      </c>
    </row>
    <row r="71" spans="1:11" x14ac:dyDescent="0.35">
      <c r="A71" s="1">
        <v>70</v>
      </c>
      <c r="B71" s="2" t="s">
        <v>217</v>
      </c>
      <c r="C71" s="2" t="s">
        <v>218</v>
      </c>
      <c r="D71" s="2" t="s">
        <v>219</v>
      </c>
      <c r="E71" s="3">
        <v>58695.98</v>
      </c>
      <c r="F71" s="3">
        <v>58699.55</v>
      </c>
      <c r="G71" s="3">
        <v>80</v>
      </c>
      <c r="H71" s="3">
        <v>285.60000000000002</v>
      </c>
      <c r="I71" s="3">
        <v>1531.26</v>
      </c>
      <c r="J71" s="3">
        <v>853.59</v>
      </c>
      <c r="K71">
        <f t="shared" si="1"/>
        <v>1531.26</v>
      </c>
    </row>
    <row r="72" spans="1:11" x14ac:dyDescent="0.35">
      <c r="A72" s="1">
        <v>71</v>
      </c>
      <c r="B72" s="2" t="s">
        <v>220</v>
      </c>
      <c r="C72" s="2" t="s">
        <v>221</v>
      </c>
      <c r="D72" s="2" t="s">
        <v>222</v>
      </c>
      <c r="E72" s="3">
        <v>38564.5</v>
      </c>
      <c r="F72" s="3">
        <v>38572.379999999997</v>
      </c>
      <c r="G72" s="3">
        <v>50</v>
      </c>
      <c r="H72" s="3">
        <v>394</v>
      </c>
      <c r="I72" s="3">
        <v>1112.45</v>
      </c>
      <c r="J72" s="3">
        <v>342.6</v>
      </c>
      <c r="K72">
        <f t="shared" si="1"/>
        <v>1112.45</v>
      </c>
    </row>
    <row r="73" spans="1:11" x14ac:dyDescent="0.35">
      <c r="A73" s="1">
        <v>72</v>
      </c>
      <c r="B73" s="2" t="s">
        <v>223</v>
      </c>
      <c r="C73" s="2" t="s">
        <v>224</v>
      </c>
      <c r="D73" s="2" t="s">
        <v>225</v>
      </c>
      <c r="E73" s="3">
        <v>33181.360000000001</v>
      </c>
      <c r="F73" s="3">
        <v>33186.050000000003</v>
      </c>
      <c r="G73" s="3">
        <v>60</v>
      </c>
      <c r="H73" s="3">
        <v>281.39999999999998</v>
      </c>
      <c r="I73" s="3">
        <v>808.28</v>
      </c>
      <c r="J73" s="3">
        <v>109.03</v>
      </c>
      <c r="K73">
        <f t="shared" si="1"/>
        <v>808.28</v>
      </c>
    </row>
    <row r="74" spans="1:11" x14ac:dyDescent="0.35">
      <c r="A74" s="1">
        <v>73</v>
      </c>
      <c r="B74" s="2" t="s">
        <v>226</v>
      </c>
      <c r="C74" s="2" t="s">
        <v>227</v>
      </c>
      <c r="D74" s="2" t="s">
        <v>228</v>
      </c>
      <c r="E74" s="3">
        <v>36471.24</v>
      </c>
      <c r="F74" s="3">
        <v>36478.519999999997</v>
      </c>
      <c r="G74" s="3">
        <v>80</v>
      </c>
      <c r="H74" s="3">
        <v>582.4</v>
      </c>
      <c r="I74" s="3">
        <v>1339.09</v>
      </c>
      <c r="J74" s="3">
        <v>118.77</v>
      </c>
      <c r="K74">
        <f t="shared" si="1"/>
        <v>1339.09</v>
      </c>
    </row>
    <row r="75" spans="1:11" x14ac:dyDescent="0.35">
      <c r="A75" s="1">
        <v>74</v>
      </c>
      <c r="B75" s="2" t="s">
        <v>229</v>
      </c>
      <c r="C75" s="2" t="s">
        <v>230</v>
      </c>
      <c r="D75" s="2" t="s">
        <v>231</v>
      </c>
      <c r="E75" s="3">
        <v>35496.129999999997</v>
      </c>
      <c r="F75" s="3">
        <v>35499.01</v>
      </c>
      <c r="G75" s="3">
        <v>50</v>
      </c>
      <c r="H75" s="3">
        <v>144</v>
      </c>
      <c r="I75" s="3">
        <v>390.45</v>
      </c>
      <c r="J75" s="3">
        <v>0</v>
      </c>
      <c r="K75">
        <f t="shared" si="1"/>
        <v>390.45</v>
      </c>
    </row>
    <row r="76" spans="1:11" x14ac:dyDescent="0.35">
      <c r="A76" s="1">
        <v>75</v>
      </c>
      <c r="B76" s="2" t="s">
        <v>232</v>
      </c>
      <c r="C76" s="2" t="s">
        <v>233</v>
      </c>
      <c r="D76" s="2" t="s">
        <v>234</v>
      </c>
      <c r="E76" s="3">
        <v>59395.199999999997</v>
      </c>
      <c r="F76" s="3">
        <v>59397.14</v>
      </c>
      <c r="G76" s="3">
        <v>80</v>
      </c>
      <c r="H76" s="3">
        <v>155.19999999999999</v>
      </c>
      <c r="I76" s="3">
        <v>479.13</v>
      </c>
      <c r="J76" s="3">
        <v>99.17</v>
      </c>
      <c r="K76">
        <f t="shared" si="1"/>
        <v>479.13</v>
      </c>
    </row>
    <row r="77" spans="1:11" x14ac:dyDescent="0.35">
      <c r="A77" s="1">
        <v>76</v>
      </c>
      <c r="B77" s="2" t="s">
        <v>235</v>
      </c>
      <c r="C77" s="2" t="s">
        <v>236</v>
      </c>
      <c r="D77" s="2" t="s">
        <v>237</v>
      </c>
      <c r="E77" s="3">
        <v>20372.500499999998</v>
      </c>
      <c r="F77" s="3">
        <v>20388.444100000001</v>
      </c>
      <c r="G77" s="3">
        <v>15</v>
      </c>
      <c r="H77" s="3">
        <v>239.15</v>
      </c>
      <c r="I77" s="3">
        <v>236.42</v>
      </c>
      <c r="J77" s="3">
        <v>0</v>
      </c>
      <c r="K77">
        <f t="shared" si="1"/>
        <v>239.15</v>
      </c>
    </row>
    <row r="78" spans="1:11" x14ac:dyDescent="0.35">
      <c r="A78" s="1">
        <v>77</v>
      </c>
      <c r="B78" s="2" t="s">
        <v>238</v>
      </c>
      <c r="C78" s="2" t="s">
        <v>239</v>
      </c>
      <c r="D78" s="2" t="s">
        <v>240</v>
      </c>
      <c r="E78" s="3">
        <v>23563.68</v>
      </c>
      <c r="F78" s="3">
        <v>23566.81</v>
      </c>
      <c r="G78" s="3">
        <v>80</v>
      </c>
      <c r="H78" s="3">
        <v>250.4</v>
      </c>
      <c r="I78" s="3">
        <v>586.84</v>
      </c>
      <c r="J78" s="3">
        <v>0</v>
      </c>
      <c r="K78">
        <f t="shared" si="1"/>
        <v>586.84</v>
      </c>
    </row>
    <row r="79" spans="1:11" x14ac:dyDescent="0.35">
      <c r="A79" s="1">
        <v>78</v>
      </c>
      <c r="B79" s="2" t="s">
        <v>241</v>
      </c>
      <c r="C79" s="2" t="s">
        <v>242</v>
      </c>
      <c r="D79" s="2" t="s">
        <v>243</v>
      </c>
      <c r="E79" s="3">
        <v>17375.95</v>
      </c>
      <c r="F79" s="3">
        <v>17377.509999999998</v>
      </c>
      <c r="G79" s="3">
        <v>50</v>
      </c>
      <c r="H79" s="3">
        <v>78</v>
      </c>
      <c r="I79" s="3">
        <v>194.77</v>
      </c>
      <c r="J79" s="3">
        <v>0</v>
      </c>
      <c r="K79">
        <f t="shared" si="1"/>
        <v>194.77</v>
      </c>
    </row>
    <row r="80" spans="1:11" x14ac:dyDescent="0.35">
      <c r="A80" s="1">
        <v>79</v>
      </c>
      <c r="B80" s="2" t="s">
        <v>244</v>
      </c>
      <c r="C80" s="2" t="s">
        <v>245</v>
      </c>
      <c r="D80" s="2" t="s">
        <v>246</v>
      </c>
      <c r="E80" s="3">
        <v>35234.03</v>
      </c>
      <c r="F80" s="3">
        <v>35238.17</v>
      </c>
      <c r="G80" s="3">
        <v>100</v>
      </c>
      <c r="H80" s="3">
        <v>414</v>
      </c>
      <c r="I80" s="3">
        <v>1028.23</v>
      </c>
      <c r="J80" s="3">
        <v>0</v>
      </c>
      <c r="K80">
        <f t="shared" si="1"/>
        <v>1028.23</v>
      </c>
    </row>
    <row r="81" spans="1:11" x14ac:dyDescent="0.35">
      <c r="A81" s="1">
        <v>80</v>
      </c>
      <c r="B81" s="2" t="s">
        <v>247</v>
      </c>
      <c r="C81" s="2" t="s">
        <v>248</v>
      </c>
      <c r="D81" s="2" t="s">
        <v>249</v>
      </c>
      <c r="E81" s="3">
        <v>24370.81</v>
      </c>
      <c r="F81" s="3">
        <v>24371.61</v>
      </c>
      <c r="G81" s="3">
        <v>80</v>
      </c>
      <c r="H81" s="3">
        <v>64</v>
      </c>
      <c r="I81" s="3">
        <v>154.93</v>
      </c>
      <c r="J81" s="3">
        <v>0</v>
      </c>
      <c r="K81">
        <f t="shared" si="1"/>
        <v>154.93</v>
      </c>
    </row>
    <row r="82" spans="1:11" x14ac:dyDescent="0.35">
      <c r="A82" s="1">
        <v>81</v>
      </c>
      <c r="B82" s="2" t="s">
        <v>250</v>
      </c>
      <c r="C82" s="2" t="s">
        <v>251</v>
      </c>
      <c r="D82" s="2" t="s">
        <v>252</v>
      </c>
      <c r="E82" s="3">
        <v>13307.929</v>
      </c>
      <c r="F82" s="3">
        <v>13318.137000000001</v>
      </c>
      <c r="G82" s="3">
        <v>50</v>
      </c>
      <c r="H82" s="3">
        <v>510.4</v>
      </c>
      <c r="I82" s="3">
        <v>493.83</v>
      </c>
      <c r="J82" s="3">
        <v>0</v>
      </c>
      <c r="K82">
        <f t="shared" si="1"/>
        <v>510.4</v>
      </c>
    </row>
    <row r="83" spans="1:11" x14ac:dyDescent="0.35">
      <c r="A83" s="1">
        <v>82</v>
      </c>
      <c r="B83" s="2" t="s">
        <v>253</v>
      </c>
      <c r="C83" s="2" t="s">
        <v>254</v>
      </c>
      <c r="D83" s="2" t="s">
        <v>255</v>
      </c>
      <c r="E83" s="3">
        <v>20751.6973</v>
      </c>
      <c r="F83" s="3">
        <v>20759.236499999999</v>
      </c>
      <c r="G83" s="3">
        <v>50</v>
      </c>
      <c r="H83" s="3">
        <v>376.96</v>
      </c>
      <c r="I83" s="3">
        <v>370.77</v>
      </c>
      <c r="J83" s="3">
        <v>0</v>
      </c>
      <c r="K83">
        <f t="shared" si="1"/>
        <v>376.96</v>
      </c>
    </row>
    <row r="84" spans="1:11" x14ac:dyDescent="0.35">
      <c r="A84" s="1">
        <v>83</v>
      </c>
      <c r="B84" s="2" t="s">
        <v>256</v>
      </c>
      <c r="C84" s="2" t="s">
        <v>257</v>
      </c>
      <c r="D84" s="2" t="s">
        <v>258</v>
      </c>
      <c r="E84" s="3">
        <v>63567.136700000003</v>
      </c>
      <c r="F84" s="3">
        <v>63584.567199999998</v>
      </c>
      <c r="G84" s="3">
        <v>30</v>
      </c>
      <c r="H84" s="3">
        <v>522.91</v>
      </c>
      <c r="I84" s="3">
        <v>516.19000000000005</v>
      </c>
      <c r="J84" s="3">
        <v>0</v>
      </c>
      <c r="K84">
        <f t="shared" si="1"/>
        <v>522.91</v>
      </c>
    </row>
    <row r="85" spans="1:11" x14ac:dyDescent="0.35">
      <c r="A85" s="1">
        <v>84</v>
      </c>
      <c r="B85" s="2" t="s">
        <v>259</v>
      </c>
      <c r="C85" s="2" t="s">
        <v>260</v>
      </c>
      <c r="D85" s="2" t="s">
        <v>261</v>
      </c>
      <c r="E85" s="3">
        <v>60621.440000000002</v>
      </c>
      <c r="F85" s="3">
        <v>60627.18</v>
      </c>
      <c r="G85" s="3">
        <v>30</v>
      </c>
      <c r="H85" s="3">
        <v>172.2</v>
      </c>
      <c r="I85" s="3">
        <v>766.81</v>
      </c>
      <c r="J85" s="3">
        <v>317.52</v>
      </c>
      <c r="K85">
        <f t="shared" si="1"/>
        <v>766.81</v>
      </c>
    </row>
    <row r="86" spans="1:11" x14ac:dyDescent="0.35">
      <c r="A86" s="1">
        <v>85</v>
      </c>
      <c r="B86" s="2" t="s">
        <v>262</v>
      </c>
      <c r="C86" s="2" t="s">
        <v>263</v>
      </c>
      <c r="D86" s="2" t="s">
        <v>264</v>
      </c>
      <c r="E86" s="3">
        <v>27323.49</v>
      </c>
      <c r="F86" s="3">
        <v>27333.84</v>
      </c>
      <c r="G86" s="3">
        <v>100</v>
      </c>
      <c r="H86" s="3">
        <v>1035</v>
      </c>
      <c r="I86" s="3">
        <v>2059.89</v>
      </c>
      <c r="J86" s="3">
        <v>42.6</v>
      </c>
      <c r="K86">
        <f t="shared" si="1"/>
        <v>2059.89</v>
      </c>
    </row>
    <row r="87" spans="1:11" x14ac:dyDescent="0.35">
      <c r="A87" s="1">
        <v>86</v>
      </c>
      <c r="B87" s="2" t="s">
        <v>265</v>
      </c>
      <c r="C87" s="2" t="s">
        <v>266</v>
      </c>
      <c r="D87" s="2" t="s">
        <v>267</v>
      </c>
      <c r="E87" s="3">
        <v>52246.15</v>
      </c>
      <c r="F87" s="3">
        <v>52255</v>
      </c>
      <c r="G87" s="3">
        <v>50</v>
      </c>
      <c r="H87" s="3">
        <v>442.5</v>
      </c>
      <c r="I87" s="3">
        <v>1653.98</v>
      </c>
      <c r="J87" s="3">
        <v>452.24</v>
      </c>
      <c r="K87">
        <f t="shared" si="1"/>
        <v>1653.98</v>
      </c>
    </row>
    <row r="88" spans="1:11" x14ac:dyDescent="0.35">
      <c r="A88" s="1">
        <v>87</v>
      </c>
      <c r="B88" s="2" t="s">
        <v>268</v>
      </c>
      <c r="C88" s="2" t="s">
        <v>269</v>
      </c>
      <c r="D88" s="2" t="s">
        <v>270</v>
      </c>
      <c r="E88" s="3">
        <v>4917.6899999999996</v>
      </c>
      <c r="F88" s="3">
        <v>4918.8999999999996</v>
      </c>
      <c r="G88" s="3">
        <v>100</v>
      </c>
      <c r="H88" s="3">
        <v>121</v>
      </c>
      <c r="I88" s="3">
        <v>785.62</v>
      </c>
      <c r="J88" s="3">
        <v>91.9</v>
      </c>
      <c r="K88">
        <f t="shared" si="1"/>
        <v>785.62</v>
      </c>
    </row>
    <row r="89" spans="1:11" x14ac:dyDescent="0.35">
      <c r="A89" s="1">
        <v>88</v>
      </c>
      <c r="B89" s="2" t="s">
        <v>271</v>
      </c>
      <c r="C89" s="2" t="s">
        <v>272</v>
      </c>
      <c r="D89" s="2" t="s">
        <v>273</v>
      </c>
      <c r="E89" s="3">
        <v>30890.55</v>
      </c>
      <c r="F89" s="3">
        <v>30892.49</v>
      </c>
      <c r="G89" s="3">
        <v>80</v>
      </c>
      <c r="H89" s="3">
        <v>155.19999999999999</v>
      </c>
      <c r="I89" s="3">
        <v>355.76</v>
      </c>
      <c r="J89" s="3">
        <v>0</v>
      </c>
      <c r="K89">
        <f t="shared" si="1"/>
        <v>355.76</v>
      </c>
    </row>
    <row r="90" spans="1:11" x14ac:dyDescent="0.35">
      <c r="A90" s="1">
        <v>89</v>
      </c>
      <c r="B90" s="2" t="s">
        <v>274</v>
      </c>
      <c r="C90" s="2" t="s">
        <v>275</v>
      </c>
      <c r="D90" s="2" t="s">
        <v>276</v>
      </c>
      <c r="E90" s="3">
        <v>12187.67</v>
      </c>
      <c r="F90" s="3">
        <v>12192.54</v>
      </c>
      <c r="G90" s="3">
        <v>50</v>
      </c>
      <c r="H90" s="3">
        <v>243.5</v>
      </c>
      <c r="I90" s="3">
        <v>238.32</v>
      </c>
      <c r="J90" s="3">
        <v>0</v>
      </c>
      <c r="K90">
        <f t="shared" si="1"/>
        <v>243.5</v>
      </c>
    </row>
    <row r="91" spans="1:11" x14ac:dyDescent="0.35">
      <c r="A91" s="1">
        <v>90</v>
      </c>
      <c r="B91" s="2" t="s">
        <v>277</v>
      </c>
      <c r="C91" s="2" t="s">
        <v>278</v>
      </c>
      <c r="D91" s="2" t="s">
        <v>279</v>
      </c>
      <c r="E91" s="3">
        <v>34181.531000000003</v>
      </c>
      <c r="F91" s="3">
        <v>34188.939100000003</v>
      </c>
      <c r="G91" s="3">
        <v>50</v>
      </c>
      <c r="H91" s="3">
        <v>370.41</v>
      </c>
      <c r="I91" s="3">
        <v>366.9</v>
      </c>
      <c r="J91" s="3">
        <v>0</v>
      </c>
      <c r="K91">
        <f t="shared" si="1"/>
        <v>370.41</v>
      </c>
    </row>
    <row r="92" spans="1:11" x14ac:dyDescent="0.35">
      <c r="A92" s="1">
        <v>91</v>
      </c>
      <c r="B92" s="2" t="s">
        <v>280</v>
      </c>
      <c r="C92" s="2" t="s">
        <v>281</v>
      </c>
      <c r="D92" s="2" t="s">
        <v>282</v>
      </c>
      <c r="E92" s="3">
        <v>21050.62</v>
      </c>
      <c r="F92" s="3">
        <v>21055.24</v>
      </c>
      <c r="G92" s="3">
        <v>50</v>
      </c>
      <c r="H92" s="3">
        <v>231</v>
      </c>
      <c r="I92" s="3">
        <v>868.77</v>
      </c>
      <c r="J92" s="3">
        <v>306.62</v>
      </c>
      <c r="K92">
        <f t="shared" si="1"/>
        <v>868.77</v>
      </c>
    </row>
    <row r="93" spans="1:11" x14ac:dyDescent="0.35">
      <c r="A93" s="1">
        <v>92</v>
      </c>
      <c r="B93" s="2" t="s">
        <v>283</v>
      </c>
      <c r="C93" s="2" t="s">
        <v>284</v>
      </c>
      <c r="D93" s="2" t="s">
        <v>285</v>
      </c>
      <c r="E93" s="3">
        <v>48459.258399999999</v>
      </c>
      <c r="F93" s="3">
        <v>48482.508999999998</v>
      </c>
      <c r="G93" s="3">
        <v>80</v>
      </c>
      <c r="H93" s="3">
        <v>1860.05</v>
      </c>
      <c r="I93" s="3">
        <v>2231.8200000000002</v>
      </c>
      <c r="J93" s="3">
        <v>334.23</v>
      </c>
      <c r="K93">
        <f t="shared" si="1"/>
        <v>2231.8200000000002</v>
      </c>
    </row>
    <row r="94" spans="1:11" x14ac:dyDescent="0.35">
      <c r="A94" s="1">
        <v>93</v>
      </c>
      <c r="B94" s="2" t="s">
        <v>286</v>
      </c>
      <c r="C94" s="2" t="s">
        <v>287</v>
      </c>
      <c r="D94" s="2" t="s">
        <v>288</v>
      </c>
      <c r="E94" s="3">
        <v>40606.536899999999</v>
      </c>
      <c r="F94" s="3">
        <v>40616.049700000003</v>
      </c>
      <c r="G94" s="3">
        <v>50</v>
      </c>
      <c r="H94" s="3">
        <v>475.64</v>
      </c>
      <c r="I94" s="3">
        <v>468.03</v>
      </c>
      <c r="J94" s="3">
        <v>0</v>
      </c>
      <c r="K94">
        <f t="shared" si="1"/>
        <v>475.64</v>
      </c>
    </row>
    <row r="95" spans="1:11" x14ac:dyDescent="0.35">
      <c r="A95" s="1">
        <v>94</v>
      </c>
      <c r="B95" s="2" t="s">
        <v>289</v>
      </c>
      <c r="C95" s="2" t="s">
        <v>290</v>
      </c>
      <c r="D95" s="2" t="s">
        <v>291</v>
      </c>
      <c r="E95" s="3">
        <v>19614.64</v>
      </c>
      <c r="F95" s="3">
        <v>19617.7</v>
      </c>
      <c r="G95" s="3">
        <v>80</v>
      </c>
      <c r="H95" s="3">
        <v>244.8</v>
      </c>
      <c r="I95" s="3">
        <v>1072.04</v>
      </c>
      <c r="J95" s="3">
        <v>0</v>
      </c>
      <c r="K95">
        <f t="shared" si="1"/>
        <v>1072.04</v>
      </c>
    </row>
    <row r="96" spans="1:11" x14ac:dyDescent="0.35">
      <c r="A96" s="1">
        <v>95</v>
      </c>
      <c r="B96" s="2" t="s">
        <v>292</v>
      </c>
      <c r="C96" s="2" t="s">
        <v>293</v>
      </c>
      <c r="D96" s="2" t="s">
        <v>294</v>
      </c>
      <c r="E96" s="3">
        <v>25483.15</v>
      </c>
      <c r="F96" s="3">
        <v>25485.41</v>
      </c>
      <c r="G96" s="3">
        <v>120</v>
      </c>
      <c r="H96" s="3">
        <v>271.2</v>
      </c>
      <c r="I96" s="3">
        <v>672.35</v>
      </c>
      <c r="J96" s="3">
        <v>0</v>
      </c>
      <c r="K96">
        <f t="shared" si="1"/>
        <v>672.35</v>
      </c>
    </row>
    <row r="97" spans="1:11" x14ac:dyDescent="0.35">
      <c r="A97" s="1">
        <v>96</v>
      </c>
      <c r="B97" s="2" t="s">
        <v>295</v>
      </c>
      <c r="C97" s="2" t="s">
        <v>296</v>
      </c>
      <c r="D97" s="2" t="s">
        <v>297</v>
      </c>
      <c r="E97" s="3">
        <v>30574.1</v>
      </c>
      <c r="F97" s="3">
        <v>30581.16</v>
      </c>
      <c r="G97" s="3">
        <v>80</v>
      </c>
      <c r="H97" s="3">
        <v>564.79999999999995</v>
      </c>
      <c r="I97" s="3">
        <v>1658.42</v>
      </c>
      <c r="J97" s="3">
        <v>218.56</v>
      </c>
      <c r="K97">
        <f t="shared" si="1"/>
        <v>1658.42</v>
      </c>
    </row>
    <row r="98" spans="1:11" x14ac:dyDescent="0.35">
      <c r="A98" s="1">
        <v>97</v>
      </c>
      <c r="B98" s="2" t="s">
        <v>298</v>
      </c>
      <c r="C98" s="2" t="s">
        <v>299</v>
      </c>
      <c r="D98" s="2" t="s">
        <v>300</v>
      </c>
      <c r="E98" s="3">
        <v>12994.16</v>
      </c>
      <c r="F98" s="3">
        <v>12995.55</v>
      </c>
      <c r="G98" s="3">
        <v>50</v>
      </c>
      <c r="H98" s="3">
        <v>69.5</v>
      </c>
      <c r="I98" s="3">
        <v>385.91</v>
      </c>
      <c r="J98" s="3">
        <v>0</v>
      </c>
      <c r="K98">
        <f t="shared" si="1"/>
        <v>385.91</v>
      </c>
    </row>
    <row r="99" spans="1:11" x14ac:dyDescent="0.35">
      <c r="A99" s="1">
        <v>98</v>
      </c>
      <c r="B99" s="2" t="s">
        <v>301</v>
      </c>
      <c r="C99" s="2" t="s">
        <v>302</v>
      </c>
      <c r="D99" s="2" t="s">
        <v>303</v>
      </c>
      <c r="E99" s="3">
        <v>31089.87</v>
      </c>
      <c r="F99" s="3">
        <v>31092.27</v>
      </c>
      <c r="G99" s="3">
        <v>80</v>
      </c>
      <c r="H99" s="3">
        <v>192</v>
      </c>
      <c r="I99" s="3">
        <v>458.16</v>
      </c>
      <c r="J99" s="3">
        <v>0</v>
      </c>
      <c r="K99">
        <f t="shared" si="1"/>
        <v>458.16</v>
      </c>
    </row>
    <row r="100" spans="1:11" x14ac:dyDescent="0.35">
      <c r="A100" s="1">
        <v>99</v>
      </c>
      <c r="B100" s="2" t="s">
        <v>304</v>
      </c>
      <c r="C100" s="2" t="s">
        <v>305</v>
      </c>
      <c r="D100" s="2" t="s">
        <v>306</v>
      </c>
      <c r="E100" s="3">
        <v>43005.15</v>
      </c>
      <c r="F100" s="3">
        <v>43007.89</v>
      </c>
      <c r="G100" s="3">
        <v>60</v>
      </c>
      <c r="H100" s="3">
        <v>164.4</v>
      </c>
      <c r="I100" s="3">
        <v>321.95999999999998</v>
      </c>
      <c r="J100" s="3">
        <v>0</v>
      </c>
      <c r="K100">
        <f t="shared" si="1"/>
        <v>321.95999999999998</v>
      </c>
    </row>
    <row r="101" spans="1:11" x14ac:dyDescent="0.35">
      <c r="A101" s="1">
        <v>100</v>
      </c>
      <c r="B101" s="2" t="s">
        <v>307</v>
      </c>
      <c r="C101" s="2" t="s">
        <v>308</v>
      </c>
      <c r="D101" s="2" t="s">
        <v>309</v>
      </c>
      <c r="E101" s="3">
        <v>10818.01</v>
      </c>
      <c r="F101" s="3">
        <v>10819.49</v>
      </c>
      <c r="G101" s="3">
        <v>80</v>
      </c>
      <c r="H101" s="3">
        <v>118.4</v>
      </c>
      <c r="I101" s="3">
        <v>258.61</v>
      </c>
      <c r="J101" s="3">
        <v>0</v>
      </c>
      <c r="K101">
        <f t="shared" si="1"/>
        <v>258.61</v>
      </c>
    </row>
    <row r="102" spans="1:11" x14ac:dyDescent="0.35">
      <c r="A102" s="1">
        <v>101</v>
      </c>
      <c r="B102" s="2" t="s">
        <v>310</v>
      </c>
      <c r="C102" s="2" t="s">
        <v>311</v>
      </c>
      <c r="D102" s="2" t="s">
        <v>312</v>
      </c>
      <c r="E102" s="3">
        <v>2984.6378</v>
      </c>
      <c r="F102" s="3">
        <v>2987.3382000000001</v>
      </c>
      <c r="G102" s="3">
        <v>80</v>
      </c>
      <c r="H102" s="3">
        <v>216.03</v>
      </c>
      <c r="I102" s="3">
        <v>190.63</v>
      </c>
      <c r="J102" s="3">
        <v>0</v>
      </c>
      <c r="K102">
        <f t="shared" si="1"/>
        <v>216.03</v>
      </c>
    </row>
    <row r="103" spans="1:11" x14ac:dyDescent="0.35">
      <c r="A103" s="1">
        <v>102</v>
      </c>
      <c r="B103" s="2" t="s">
        <v>313</v>
      </c>
      <c r="C103" s="2" t="s">
        <v>314</v>
      </c>
      <c r="D103" s="2" t="s">
        <v>315</v>
      </c>
      <c r="E103" s="3">
        <v>23389.370999999999</v>
      </c>
      <c r="F103" s="3">
        <v>23397.350299999998</v>
      </c>
      <c r="G103" s="3">
        <v>40</v>
      </c>
      <c r="H103" s="3">
        <v>319.17</v>
      </c>
      <c r="I103" s="3">
        <v>317.92</v>
      </c>
      <c r="J103" s="3">
        <v>0</v>
      </c>
      <c r="K103">
        <f t="shared" si="1"/>
        <v>319.17</v>
      </c>
    </row>
    <row r="104" spans="1:11" x14ac:dyDescent="0.35">
      <c r="A104" s="1">
        <v>103</v>
      </c>
      <c r="B104" s="2" t="s">
        <v>316</v>
      </c>
      <c r="C104" s="2" t="s">
        <v>317</v>
      </c>
      <c r="D104" s="2" t="s">
        <v>318</v>
      </c>
      <c r="E104" s="3">
        <v>25503.22</v>
      </c>
      <c r="F104" s="3">
        <v>25506.13</v>
      </c>
      <c r="G104" s="3">
        <v>40</v>
      </c>
      <c r="H104" s="3">
        <v>116.4</v>
      </c>
      <c r="I104" s="3">
        <v>261.22000000000003</v>
      </c>
      <c r="J104" s="3">
        <v>0</v>
      </c>
      <c r="K104">
        <f t="shared" si="1"/>
        <v>261.22000000000003</v>
      </c>
    </row>
    <row r="105" spans="1:11" x14ac:dyDescent="0.35">
      <c r="A105" s="1">
        <v>104</v>
      </c>
      <c r="B105" s="2" t="s">
        <v>319</v>
      </c>
      <c r="C105" s="2" t="s">
        <v>320</v>
      </c>
      <c r="D105" s="2" t="s">
        <v>321</v>
      </c>
      <c r="E105" s="3">
        <v>4730.96</v>
      </c>
      <c r="F105" s="3">
        <v>4731.97</v>
      </c>
      <c r="G105" s="3">
        <v>80</v>
      </c>
      <c r="H105" s="3">
        <v>80.8</v>
      </c>
      <c r="I105" s="3">
        <v>191.55</v>
      </c>
      <c r="J105" s="3">
        <v>0</v>
      </c>
      <c r="K105">
        <f t="shared" si="1"/>
        <v>191.55</v>
      </c>
    </row>
    <row r="106" spans="1:11" x14ac:dyDescent="0.35">
      <c r="A106" s="1">
        <v>105</v>
      </c>
      <c r="B106" s="2" t="s">
        <v>322</v>
      </c>
      <c r="C106" s="2" t="s">
        <v>323</v>
      </c>
      <c r="D106" s="2" t="s">
        <v>324</v>
      </c>
      <c r="E106" s="3">
        <v>21791.79</v>
      </c>
      <c r="F106" s="3">
        <v>21793.4</v>
      </c>
      <c r="G106" s="3">
        <v>80</v>
      </c>
      <c r="H106" s="3">
        <v>128.80000000000001</v>
      </c>
      <c r="I106" s="3">
        <v>309.86</v>
      </c>
      <c r="J106" s="3">
        <v>0</v>
      </c>
      <c r="K106">
        <f t="shared" si="1"/>
        <v>309.86</v>
      </c>
    </row>
    <row r="107" spans="1:11" x14ac:dyDescent="0.35">
      <c r="A107" s="1">
        <v>106</v>
      </c>
      <c r="B107" s="2" t="s">
        <v>325</v>
      </c>
      <c r="C107" s="2" t="s">
        <v>326</v>
      </c>
      <c r="D107" s="2" t="s">
        <v>327</v>
      </c>
      <c r="E107" s="3">
        <v>43651.98</v>
      </c>
      <c r="F107" s="3">
        <v>43657.9</v>
      </c>
      <c r="G107" s="3">
        <v>80</v>
      </c>
      <c r="H107" s="3">
        <v>473.6</v>
      </c>
      <c r="I107" s="3">
        <v>1730.91</v>
      </c>
      <c r="J107" s="3">
        <v>75.17</v>
      </c>
      <c r="K107">
        <f t="shared" si="1"/>
        <v>1730.91</v>
      </c>
    </row>
    <row r="108" spans="1:11" x14ac:dyDescent="0.35">
      <c r="A108" s="1">
        <v>107</v>
      </c>
      <c r="B108" s="2" t="s">
        <v>328</v>
      </c>
      <c r="C108" s="2" t="s">
        <v>329</v>
      </c>
      <c r="D108" s="2" t="s">
        <v>330</v>
      </c>
      <c r="E108" s="3">
        <v>11288.1006</v>
      </c>
      <c r="F108" s="3">
        <v>11295.154399999999</v>
      </c>
      <c r="G108" s="3">
        <v>30</v>
      </c>
      <c r="H108" s="3">
        <v>211.61</v>
      </c>
      <c r="I108" s="3">
        <v>363.86</v>
      </c>
      <c r="J108" s="3">
        <v>0</v>
      </c>
      <c r="K108">
        <f t="shared" si="1"/>
        <v>363.86</v>
      </c>
    </row>
    <row r="109" spans="1:11" x14ac:dyDescent="0.35">
      <c r="A109" s="1">
        <v>108</v>
      </c>
      <c r="B109" s="2" t="s">
        <v>331</v>
      </c>
      <c r="C109" s="2" t="s">
        <v>332</v>
      </c>
      <c r="D109" s="2" t="s">
        <v>333</v>
      </c>
      <c r="E109" s="3">
        <v>30797.5</v>
      </c>
      <c r="F109" s="3">
        <v>30801.83</v>
      </c>
      <c r="G109" s="3">
        <v>80</v>
      </c>
      <c r="H109" s="3">
        <v>346.4</v>
      </c>
      <c r="I109" s="3">
        <v>813.24</v>
      </c>
      <c r="J109" s="3">
        <v>0</v>
      </c>
      <c r="K109">
        <f t="shared" si="1"/>
        <v>813.24</v>
      </c>
    </row>
    <row r="110" spans="1:11" x14ac:dyDescent="0.35">
      <c r="A110" s="1">
        <v>109</v>
      </c>
      <c r="B110" s="2" t="s">
        <v>334</v>
      </c>
      <c r="C110" s="2" t="s">
        <v>335</v>
      </c>
      <c r="D110" s="2" t="s">
        <v>336</v>
      </c>
      <c r="E110" s="3">
        <v>32786.94</v>
      </c>
      <c r="F110" s="3">
        <v>32789.360000000001</v>
      </c>
      <c r="G110" s="3">
        <v>50</v>
      </c>
      <c r="H110" s="3">
        <v>121</v>
      </c>
      <c r="I110" s="3">
        <v>288.48</v>
      </c>
      <c r="J110" s="3">
        <v>0</v>
      </c>
      <c r="K110">
        <f t="shared" si="1"/>
        <v>288.48</v>
      </c>
    </row>
    <row r="111" spans="1:11" x14ac:dyDescent="0.35">
      <c r="A111" s="1">
        <v>110</v>
      </c>
      <c r="B111" s="2" t="s">
        <v>337</v>
      </c>
      <c r="C111" s="2" t="s">
        <v>338</v>
      </c>
      <c r="D111" s="2" t="s">
        <v>339</v>
      </c>
      <c r="E111" s="3">
        <v>8172.5312000000004</v>
      </c>
      <c r="F111" s="3">
        <v>8179.3226000000004</v>
      </c>
      <c r="G111" s="3">
        <v>50</v>
      </c>
      <c r="H111" s="3">
        <v>339.57</v>
      </c>
      <c r="I111" s="3">
        <v>317.7</v>
      </c>
      <c r="J111" s="3">
        <v>0</v>
      </c>
      <c r="K111">
        <f t="shared" si="1"/>
        <v>339.57</v>
      </c>
    </row>
    <row r="112" spans="1:11" x14ac:dyDescent="0.35">
      <c r="A112" s="1">
        <v>111</v>
      </c>
      <c r="B112" s="2" t="s">
        <v>340</v>
      </c>
      <c r="C112" s="2" t="s">
        <v>341</v>
      </c>
      <c r="D112" s="2" t="s">
        <v>342</v>
      </c>
      <c r="E112" s="3">
        <v>17808.512699999999</v>
      </c>
      <c r="F112" s="3">
        <v>17816.0494</v>
      </c>
      <c r="G112" s="3">
        <v>30</v>
      </c>
      <c r="H112" s="3">
        <v>226.1</v>
      </c>
      <c r="I112" s="3">
        <v>138.88</v>
      </c>
      <c r="J112" s="3">
        <v>0</v>
      </c>
      <c r="K112">
        <f t="shared" si="1"/>
        <v>226.1</v>
      </c>
    </row>
    <row r="113" spans="1:11" x14ac:dyDescent="0.35">
      <c r="A113" s="1">
        <v>112</v>
      </c>
      <c r="B113" s="2" t="s">
        <v>343</v>
      </c>
      <c r="C113" s="2" t="s">
        <v>344</v>
      </c>
      <c r="D113" s="2" t="s">
        <v>345</v>
      </c>
      <c r="E113" s="3">
        <v>5347.8783999999996</v>
      </c>
      <c r="F113" s="3">
        <v>5353.8537999999999</v>
      </c>
      <c r="G113" s="3">
        <v>50</v>
      </c>
      <c r="H113" s="3">
        <v>298.77</v>
      </c>
      <c r="I113" s="3">
        <v>290.66000000000003</v>
      </c>
      <c r="J113" s="3">
        <v>0</v>
      </c>
      <c r="K113">
        <f t="shared" si="1"/>
        <v>298.77</v>
      </c>
    </row>
    <row r="114" spans="1:11" x14ac:dyDescent="0.35">
      <c r="A114" s="1">
        <v>113</v>
      </c>
      <c r="B114" s="2" t="s">
        <v>346</v>
      </c>
      <c r="C114" s="2" t="s">
        <v>347</v>
      </c>
      <c r="D114" s="2" t="s">
        <v>348</v>
      </c>
      <c r="E114" s="3">
        <v>18445.98</v>
      </c>
      <c r="F114" s="3">
        <v>18448.79</v>
      </c>
      <c r="G114" s="3">
        <v>80</v>
      </c>
      <c r="H114" s="3">
        <v>224.8</v>
      </c>
      <c r="I114" s="3">
        <v>374.61</v>
      </c>
      <c r="J114" s="3">
        <v>0</v>
      </c>
      <c r="K114">
        <f t="shared" si="1"/>
        <v>374.61</v>
      </c>
    </row>
    <row r="115" spans="1:11" x14ac:dyDescent="0.35">
      <c r="A115" s="1">
        <v>114</v>
      </c>
      <c r="B115" s="2" t="s">
        <v>349</v>
      </c>
      <c r="C115" s="2" t="s">
        <v>350</v>
      </c>
      <c r="D115" s="2" t="s">
        <v>351</v>
      </c>
      <c r="E115" s="3">
        <v>19561.87</v>
      </c>
      <c r="F115" s="3">
        <v>19563.48</v>
      </c>
      <c r="G115" s="3">
        <v>60</v>
      </c>
      <c r="H115" s="3">
        <v>96.6</v>
      </c>
      <c r="I115" s="3">
        <v>229.37</v>
      </c>
      <c r="J115" s="3">
        <v>0</v>
      </c>
      <c r="K115">
        <f t="shared" si="1"/>
        <v>229.37</v>
      </c>
    </row>
    <row r="116" spans="1:11" x14ac:dyDescent="0.35">
      <c r="A116" s="1">
        <v>115</v>
      </c>
      <c r="B116" s="2" t="s">
        <v>352</v>
      </c>
      <c r="C116" s="2" t="s">
        <v>353</v>
      </c>
      <c r="D116" s="2" t="s">
        <v>354</v>
      </c>
      <c r="E116" s="3">
        <v>26219.91</v>
      </c>
      <c r="F116" s="3">
        <v>26222.02</v>
      </c>
      <c r="G116" s="3">
        <v>30</v>
      </c>
      <c r="H116" s="3">
        <v>63.3</v>
      </c>
      <c r="I116" s="3">
        <v>146.9</v>
      </c>
      <c r="J116" s="3">
        <v>0</v>
      </c>
      <c r="K116">
        <f t="shared" si="1"/>
        <v>146.9</v>
      </c>
    </row>
    <row r="117" spans="1:11" x14ac:dyDescent="0.35">
      <c r="A117" s="1">
        <v>116</v>
      </c>
      <c r="B117" s="2" t="s">
        <v>355</v>
      </c>
      <c r="C117" s="2" t="s">
        <v>356</v>
      </c>
      <c r="D117" s="2" t="s">
        <v>357</v>
      </c>
      <c r="E117" s="3">
        <v>33841.5461</v>
      </c>
      <c r="F117" s="3">
        <v>33853.089599999999</v>
      </c>
      <c r="G117" s="3">
        <v>30</v>
      </c>
      <c r="H117" s="3">
        <v>346.3</v>
      </c>
      <c r="I117" s="3">
        <v>342.45</v>
      </c>
      <c r="J117" s="3">
        <v>0</v>
      </c>
      <c r="K117">
        <f t="shared" si="1"/>
        <v>346.3</v>
      </c>
    </row>
    <row r="118" spans="1:11" x14ac:dyDescent="0.35">
      <c r="A118" s="1">
        <v>117</v>
      </c>
      <c r="B118" s="2" t="s">
        <v>358</v>
      </c>
      <c r="C118" s="2" t="s">
        <v>359</v>
      </c>
      <c r="D118" s="2" t="s">
        <v>360</v>
      </c>
      <c r="E118" s="3">
        <v>21923.836200000002</v>
      </c>
      <c r="F118" s="3">
        <v>21932.290799999999</v>
      </c>
      <c r="G118" s="3">
        <v>50</v>
      </c>
      <c r="H118" s="3">
        <v>422.73</v>
      </c>
      <c r="I118" s="3">
        <v>415.01</v>
      </c>
      <c r="J118" s="3">
        <v>0</v>
      </c>
      <c r="K118">
        <f t="shared" si="1"/>
        <v>422.73</v>
      </c>
    </row>
    <row r="119" spans="1:11" x14ac:dyDescent="0.35">
      <c r="A119" s="1">
        <v>118</v>
      </c>
      <c r="B119" s="2" t="s">
        <v>361</v>
      </c>
      <c r="C119" s="2" t="s">
        <v>362</v>
      </c>
      <c r="D119" s="2" t="s">
        <v>363</v>
      </c>
      <c r="E119" s="3">
        <v>15674.27</v>
      </c>
      <c r="F119" s="3">
        <v>15675.97</v>
      </c>
      <c r="G119" s="3">
        <v>30</v>
      </c>
      <c r="H119" s="3">
        <v>51</v>
      </c>
      <c r="I119" s="3">
        <v>274.27</v>
      </c>
      <c r="J119" s="3">
        <v>332.93</v>
      </c>
      <c r="K119">
        <f t="shared" si="1"/>
        <v>274.27</v>
      </c>
    </row>
    <row r="120" spans="1:11" x14ac:dyDescent="0.35">
      <c r="A120" s="1">
        <v>119</v>
      </c>
      <c r="B120" s="2" t="s">
        <v>364</v>
      </c>
      <c r="C120" s="2" t="s">
        <v>365</v>
      </c>
      <c r="D120" s="2" t="s">
        <v>366</v>
      </c>
      <c r="E120" s="3">
        <v>24347.262299999999</v>
      </c>
      <c r="F120" s="3">
        <v>24350.407800000001</v>
      </c>
      <c r="G120" s="3">
        <v>30</v>
      </c>
      <c r="H120" s="3">
        <v>94.37</v>
      </c>
      <c r="I120" s="3">
        <v>93.41</v>
      </c>
      <c r="J120" s="3">
        <v>0</v>
      </c>
      <c r="K120">
        <f t="shared" si="1"/>
        <v>94.37</v>
      </c>
    </row>
    <row r="121" spans="1:11" x14ac:dyDescent="0.35">
      <c r="A121" s="1">
        <v>120</v>
      </c>
      <c r="B121" s="2" t="s">
        <v>367</v>
      </c>
      <c r="C121" s="2" t="s">
        <v>368</v>
      </c>
      <c r="D121" s="2" t="s">
        <v>369</v>
      </c>
      <c r="E121" s="3">
        <v>55491.54</v>
      </c>
      <c r="F121" s="3">
        <v>55495.96</v>
      </c>
      <c r="G121" s="3">
        <v>80</v>
      </c>
      <c r="H121" s="3">
        <v>353.6</v>
      </c>
      <c r="I121" s="3">
        <v>1202.46</v>
      </c>
      <c r="J121" s="3">
        <v>205.41</v>
      </c>
      <c r="K121">
        <f t="shared" si="1"/>
        <v>1202.46</v>
      </c>
    </row>
    <row r="122" spans="1:11" x14ac:dyDescent="0.35">
      <c r="A122" s="1">
        <v>121</v>
      </c>
      <c r="B122" s="2" t="s">
        <v>370</v>
      </c>
      <c r="C122" s="2" t="s">
        <v>371</v>
      </c>
      <c r="D122" s="2" t="s">
        <v>372</v>
      </c>
      <c r="E122" s="3">
        <v>5571.13</v>
      </c>
      <c r="F122" s="3">
        <v>5571.76</v>
      </c>
      <c r="G122" s="3">
        <v>100</v>
      </c>
      <c r="H122" s="3">
        <v>63</v>
      </c>
      <c r="I122" s="3">
        <v>147.51</v>
      </c>
      <c r="J122" s="3">
        <v>0</v>
      </c>
      <c r="K122">
        <f t="shared" si="1"/>
        <v>147.51</v>
      </c>
    </row>
    <row r="123" spans="1:11" x14ac:dyDescent="0.35">
      <c r="A123" s="1">
        <v>122</v>
      </c>
      <c r="B123" s="2" t="s">
        <v>373</v>
      </c>
      <c r="C123" s="2" t="s">
        <v>374</v>
      </c>
      <c r="D123" s="2" t="s">
        <v>375</v>
      </c>
      <c r="E123" s="3">
        <v>43529.56</v>
      </c>
      <c r="F123" s="3">
        <v>43535.77</v>
      </c>
      <c r="G123" s="3">
        <v>50</v>
      </c>
      <c r="H123" s="3">
        <v>310.5</v>
      </c>
      <c r="I123" s="3">
        <v>456.78</v>
      </c>
      <c r="J123" s="3">
        <v>0</v>
      </c>
      <c r="K123">
        <f t="shared" si="1"/>
        <v>456.78</v>
      </c>
    </row>
    <row r="124" spans="1:11" x14ac:dyDescent="0.35">
      <c r="A124" s="1">
        <v>123</v>
      </c>
      <c r="B124" s="2" t="s">
        <v>376</v>
      </c>
      <c r="C124" s="2" t="s">
        <v>377</v>
      </c>
      <c r="D124" s="2" t="s">
        <v>378</v>
      </c>
      <c r="E124" s="3">
        <v>41805.244200000001</v>
      </c>
      <c r="F124" s="3">
        <v>41822.497600000002</v>
      </c>
      <c r="G124" s="3">
        <v>30</v>
      </c>
      <c r="H124" s="3">
        <v>517.6</v>
      </c>
      <c r="I124" s="3">
        <v>447.8</v>
      </c>
      <c r="J124" s="3">
        <v>0</v>
      </c>
      <c r="K124">
        <f t="shared" si="1"/>
        <v>517.6</v>
      </c>
    </row>
    <row r="125" spans="1:11" x14ac:dyDescent="0.35">
      <c r="A125" s="1">
        <v>124</v>
      </c>
      <c r="B125" s="2" t="s">
        <v>379</v>
      </c>
      <c r="C125" s="2" t="s">
        <v>380</v>
      </c>
      <c r="D125" s="2" t="s">
        <v>381</v>
      </c>
      <c r="E125" s="3">
        <v>7633.5420000000004</v>
      </c>
      <c r="F125" s="3">
        <v>7642.3836000000001</v>
      </c>
      <c r="G125" s="3">
        <v>30</v>
      </c>
      <c r="H125" s="3">
        <v>265.25</v>
      </c>
      <c r="I125" s="3">
        <v>229.15</v>
      </c>
      <c r="J125" s="3">
        <v>0</v>
      </c>
      <c r="K125">
        <f t="shared" si="1"/>
        <v>265.25</v>
      </c>
    </row>
    <row r="126" spans="1:11" x14ac:dyDescent="0.35">
      <c r="A126" s="1">
        <v>125</v>
      </c>
      <c r="B126" s="2" t="s">
        <v>382</v>
      </c>
      <c r="C126" s="2" t="s">
        <v>383</v>
      </c>
      <c r="D126" s="2" t="s">
        <v>384</v>
      </c>
      <c r="E126" s="3">
        <v>33696.7425</v>
      </c>
      <c r="F126" s="3">
        <v>33701.214999999997</v>
      </c>
      <c r="G126" s="3">
        <v>100</v>
      </c>
      <c r="H126" s="3">
        <v>447.25</v>
      </c>
      <c r="I126" s="3">
        <v>421.97</v>
      </c>
      <c r="J126" s="3">
        <v>0</v>
      </c>
      <c r="K126">
        <f t="shared" si="1"/>
        <v>447.25</v>
      </c>
    </row>
    <row r="127" spans="1:11" x14ac:dyDescent="0.35">
      <c r="A127" s="1">
        <v>126</v>
      </c>
      <c r="B127" s="2" t="s">
        <v>385</v>
      </c>
      <c r="C127" s="2" t="s">
        <v>386</v>
      </c>
      <c r="D127" s="2" t="s">
        <v>387</v>
      </c>
      <c r="E127" s="3">
        <v>24786.83</v>
      </c>
      <c r="F127" s="3">
        <v>24788.43</v>
      </c>
      <c r="G127" s="3">
        <v>80</v>
      </c>
      <c r="H127" s="3">
        <v>128</v>
      </c>
      <c r="I127" s="3">
        <v>293.98</v>
      </c>
      <c r="J127" s="3">
        <v>0</v>
      </c>
      <c r="K127">
        <f t="shared" si="1"/>
        <v>293.98</v>
      </c>
    </row>
    <row r="128" spans="1:11" x14ac:dyDescent="0.35">
      <c r="A128" s="1">
        <v>127</v>
      </c>
      <c r="B128" s="2" t="s">
        <v>388</v>
      </c>
      <c r="C128" s="2" t="s">
        <v>389</v>
      </c>
      <c r="D128" s="2" t="s">
        <v>390</v>
      </c>
      <c r="E128" s="3">
        <v>40516.167399999998</v>
      </c>
      <c r="F128" s="3">
        <v>40526.089500000002</v>
      </c>
      <c r="G128" s="3">
        <v>50</v>
      </c>
      <c r="H128" s="3">
        <v>496.11</v>
      </c>
      <c r="I128" s="3">
        <v>506.58</v>
      </c>
      <c r="J128" s="3">
        <v>0</v>
      </c>
      <c r="K128">
        <f t="shared" si="1"/>
        <v>506.58</v>
      </c>
    </row>
    <row r="129" spans="1:11" x14ac:dyDescent="0.35">
      <c r="A129" s="1">
        <v>128</v>
      </c>
      <c r="B129" s="2" t="s">
        <v>391</v>
      </c>
      <c r="C129" s="2" t="s">
        <v>392</v>
      </c>
      <c r="D129" s="2" t="s">
        <v>393</v>
      </c>
      <c r="E129" s="3">
        <v>3055.1019999999999</v>
      </c>
      <c r="F129" s="3">
        <v>3056.5576000000001</v>
      </c>
      <c r="G129" s="3">
        <v>80</v>
      </c>
      <c r="H129" s="3">
        <v>116.45</v>
      </c>
      <c r="I129" s="3">
        <v>115.21</v>
      </c>
      <c r="J129" s="3">
        <v>0</v>
      </c>
      <c r="K129">
        <f t="shared" si="1"/>
        <v>116.45</v>
      </c>
    </row>
    <row r="130" spans="1:11" x14ac:dyDescent="0.35">
      <c r="A130" s="1">
        <v>129</v>
      </c>
      <c r="B130" s="2" t="s">
        <v>394</v>
      </c>
      <c r="C130" s="2" t="s">
        <v>395</v>
      </c>
      <c r="D130" s="2" t="s">
        <v>396</v>
      </c>
      <c r="E130" s="3">
        <v>12497.9758</v>
      </c>
      <c r="F130" s="3">
        <v>12499.9378</v>
      </c>
      <c r="G130" s="3">
        <v>80</v>
      </c>
      <c r="H130" s="3">
        <v>156.96</v>
      </c>
      <c r="I130" s="3">
        <v>154.06</v>
      </c>
      <c r="J130" s="3">
        <v>0</v>
      </c>
      <c r="K130">
        <f t="shared" si="1"/>
        <v>156.96</v>
      </c>
    </row>
    <row r="131" spans="1:11" x14ac:dyDescent="0.35">
      <c r="A131" s="1">
        <v>130</v>
      </c>
      <c r="B131" s="2" t="s">
        <v>397</v>
      </c>
      <c r="C131" s="2" t="s">
        <v>398</v>
      </c>
      <c r="D131" s="2" t="s">
        <v>399</v>
      </c>
      <c r="E131" s="3">
        <v>2351.2600000000002</v>
      </c>
      <c r="F131" s="3">
        <v>2351.54</v>
      </c>
      <c r="G131" s="3">
        <v>80</v>
      </c>
      <c r="H131" s="3">
        <v>22.4</v>
      </c>
      <c r="I131" s="3">
        <v>47.84</v>
      </c>
      <c r="J131" s="3">
        <v>0</v>
      </c>
      <c r="K131">
        <f t="shared" ref="K131:K194" si="2">IF(H131&lt;=I131,I131,H131)</f>
        <v>47.84</v>
      </c>
    </row>
    <row r="132" spans="1:11" x14ac:dyDescent="0.35">
      <c r="A132" s="1">
        <v>131</v>
      </c>
      <c r="B132" s="2" t="s">
        <v>400</v>
      </c>
      <c r="C132" s="2" t="s">
        <v>401</v>
      </c>
      <c r="D132" s="2" t="s">
        <v>402</v>
      </c>
      <c r="E132" s="3">
        <v>15878.74</v>
      </c>
      <c r="F132" s="3">
        <v>15878.78</v>
      </c>
      <c r="G132" s="3">
        <v>80</v>
      </c>
      <c r="H132" s="3">
        <v>3.2</v>
      </c>
      <c r="I132" s="3">
        <v>2.19</v>
      </c>
      <c r="J132" s="3">
        <v>0</v>
      </c>
      <c r="K132">
        <f t="shared" si="2"/>
        <v>3.2</v>
      </c>
    </row>
    <row r="133" spans="1:11" x14ac:dyDescent="0.35">
      <c r="A133" s="1">
        <v>132</v>
      </c>
      <c r="B133" s="2" t="s">
        <v>403</v>
      </c>
      <c r="C133" s="2" t="s">
        <v>404</v>
      </c>
      <c r="D133" s="2" t="s">
        <v>405</v>
      </c>
      <c r="E133" s="3">
        <v>49748.46</v>
      </c>
      <c r="F133" s="3">
        <v>49756.9</v>
      </c>
      <c r="G133" s="3">
        <v>30</v>
      </c>
      <c r="H133" s="3">
        <v>253.2</v>
      </c>
      <c r="I133" s="3">
        <v>605.04</v>
      </c>
      <c r="J133" s="3">
        <v>0</v>
      </c>
      <c r="K133">
        <f t="shared" si="2"/>
        <v>605.04</v>
      </c>
    </row>
    <row r="134" spans="1:11" x14ac:dyDescent="0.35">
      <c r="A134" s="1">
        <v>133</v>
      </c>
      <c r="B134" s="2" t="s">
        <v>406</v>
      </c>
      <c r="C134" s="2" t="s">
        <v>407</v>
      </c>
      <c r="D134" s="2" t="s">
        <v>408</v>
      </c>
      <c r="E134" s="3">
        <v>2248.6106</v>
      </c>
      <c r="F134" s="3">
        <v>2251.2836000000002</v>
      </c>
      <c r="G134" s="3">
        <v>30</v>
      </c>
      <c r="H134" s="3">
        <v>80.19</v>
      </c>
      <c r="I134" s="3">
        <v>122.74</v>
      </c>
      <c r="J134" s="3">
        <v>80.180000000000007</v>
      </c>
      <c r="K134">
        <f t="shared" si="2"/>
        <v>122.74</v>
      </c>
    </row>
    <row r="135" spans="1:11" x14ac:dyDescent="0.35">
      <c r="A135" s="1">
        <v>134</v>
      </c>
      <c r="B135" s="2" t="s">
        <v>409</v>
      </c>
      <c r="C135" s="2" t="s">
        <v>410</v>
      </c>
      <c r="D135" s="2" t="s">
        <v>411</v>
      </c>
      <c r="E135" s="3">
        <v>85673.47</v>
      </c>
      <c r="F135" s="3">
        <v>85682.240000000005</v>
      </c>
      <c r="G135" s="3">
        <v>50</v>
      </c>
      <c r="H135" s="3">
        <v>438.5</v>
      </c>
      <c r="I135" s="3">
        <v>1216.02</v>
      </c>
      <c r="J135" s="3">
        <v>211.37</v>
      </c>
      <c r="K135">
        <f t="shared" si="2"/>
        <v>1216.02</v>
      </c>
    </row>
    <row r="136" spans="1:11" x14ac:dyDescent="0.35">
      <c r="A136" s="1">
        <v>135</v>
      </c>
      <c r="B136" s="2" t="s">
        <v>412</v>
      </c>
      <c r="C136" s="2" t="s">
        <v>413</v>
      </c>
      <c r="D136" s="2" t="s">
        <v>414</v>
      </c>
      <c r="E136" s="3">
        <v>5727.6682000000001</v>
      </c>
      <c r="F136" s="3">
        <v>5737.3130000000001</v>
      </c>
      <c r="G136" s="3">
        <v>30</v>
      </c>
      <c r="H136" s="3">
        <v>289.33999999999997</v>
      </c>
      <c r="I136" s="3">
        <v>279.7</v>
      </c>
      <c r="J136" s="3">
        <v>0</v>
      </c>
      <c r="K136">
        <f t="shared" si="2"/>
        <v>289.33999999999997</v>
      </c>
    </row>
    <row r="137" spans="1:11" x14ac:dyDescent="0.35">
      <c r="A137" s="1">
        <v>136</v>
      </c>
      <c r="B137" s="2" t="s">
        <v>415</v>
      </c>
      <c r="C137" s="2" t="s">
        <v>416</v>
      </c>
      <c r="D137" s="2" t="s">
        <v>417</v>
      </c>
      <c r="E137" s="3">
        <v>38506.379999999997</v>
      </c>
      <c r="F137" s="3">
        <v>38510.480000000003</v>
      </c>
      <c r="G137" s="3">
        <v>80</v>
      </c>
      <c r="H137" s="3">
        <v>328</v>
      </c>
      <c r="I137" s="3">
        <v>727.6</v>
      </c>
      <c r="J137" s="3">
        <v>0</v>
      </c>
      <c r="K137">
        <f t="shared" si="2"/>
        <v>727.6</v>
      </c>
    </row>
    <row r="138" spans="1:11" x14ac:dyDescent="0.35">
      <c r="A138" s="1">
        <v>137</v>
      </c>
      <c r="B138" s="2" t="s">
        <v>418</v>
      </c>
      <c r="C138" s="2" t="s">
        <v>419</v>
      </c>
      <c r="D138" s="2" t="s">
        <v>420</v>
      </c>
      <c r="E138" s="3">
        <v>21695.26</v>
      </c>
      <c r="F138" s="3">
        <v>21696.720000000001</v>
      </c>
      <c r="G138" s="3">
        <v>80</v>
      </c>
      <c r="H138" s="3">
        <v>116.8</v>
      </c>
      <c r="I138" s="3">
        <v>266.97000000000003</v>
      </c>
      <c r="J138" s="3">
        <v>0</v>
      </c>
      <c r="K138">
        <f t="shared" si="2"/>
        <v>266.97000000000003</v>
      </c>
    </row>
    <row r="139" spans="1:11" x14ac:dyDescent="0.35">
      <c r="A139" s="1">
        <v>138</v>
      </c>
      <c r="B139" s="2" t="s">
        <v>421</v>
      </c>
      <c r="C139" s="2" t="s">
        <v>422</v>
      </c>
      <c r="D139" s="2" t="s">
        <v>423</v>
      </c>
      <c r="E139" s="3">
        <v>11081.587799999999</v>
      </c>
      <c r="F139" s="3">
        <v>11086.418600000001</v>
      </c>
      <c r="G139" s="3">
        <v>80</v>
      </c>
      <c r="H139" s="3">
        <v>386.46</v>
      </c>
      <c r="I139" s="3">
        <v>372.35</v>
      </c>
      <c r="J139" s="3">
        <v>0</v>
      </c>
      <c r="K139">
        <f t="shared" si="2"/>
        <v>386.46</v>
      </c>
    </row>
    <row r="140" spans="1:11" x14ac:dyDescent="0.35">
      <c r="A140" s="1">
        <v>139</v>
      </c>
      <c r="B140" s="2" t="s">
        <v>424</v>
      </c>
      <c r="C140" s="2" t="s">
        <v>425</v>
      </c>
      <c r="D140" s="2" t="s">
        <v>426</v>
      </c>
      <c r="E140" s="3">
        <v>6379.2694000000001</v>
      </c>
      <c r="F140" s="3">
        <v>6382.6409999999996</v>
      </c>
      <c r="G140" s="3">
        <v>80</v>
      </c>
      <c r="H140" s="3">
        <v>269.73</v>
      </c>
      <c r="I140" s="3">
        <v>262.70999999999998</v>
      </c>
      <c r="J140" s="3">
        <v>0</v>
      </c>
      <c r="K140">
        <f t="shared" si="2"/>
        <v>269.73</v>
      </c>
    </row>
    <row r="141" spans="1:11" x14ac:dyDescent="0.35">
      <c r="A141" s="1">
        <v>140</v>
      </c>
      <c r="B141" s="2" t="s">
        <v>427</v>
      </c>
      <c r="C141" s="2" t="s">
        <v>428</v>
      </c>
      <c r="D141" s="2" t="s">
        <v>429</v>
      </c>
      <c r="E141" s="3">
        <v>72170.960000000006</v>
      </c>
      <c r="F141" s="3">
        <v>72178.91</v>
      </c>
      <c r="G141" s="3">
        <v>50</v>
      </c>
      <c r="H141" s="3">
        <v>397.5</v>
      </c>
      <c r="I141" s="3">
        <v>1137.74</v>
      </c>
      <c r="J141" s="3">
        <v>186.03</v>
      </c>
      <c r="K141">
        <f t="shared" si="2"/>
        <v>1137.74</v>
      </c>
    </row>
    <row r="142" spans="1:11" x14ac:dyDescent="0.35">
      <c r="A142" s="1">
        <v>141</v>
      </c>
      <c r="B142" s="2" t="s">
        <v>430</v>
      </c>
      <c r="C142" s="2" t="s">
        <v>431</v>
      </c>
      <c r="D142" s="2" t="s">
        <v>432</v>
      </c>
      <c r="E142" s="3">
        <v>11964.9678</v>
      </c>
      <c r="F142" s="3">
        <v>11975.4494</v>
      </c>
      <c r="G142" s="3">
        <v>80</v>
      </c>
      <c r="H142" s="3">
        <v>838.53</v>
      </c>
      <c r="I142" s="3">
        <v>816.25</v>
      </c>
      <c r="J142" s="3">
        <v>0</v>
      </c>
      <c r="K142">
        <f t="shared" si="2"/>
        <v>838.53</v>
      </c>
    </row>
    <row r="143" spans="1:11" x14ac:dyDescent="0.35">
      <c r="A143" s="1">
        <v>142</v>
      </c>
      <c r="B143" s="2" t="s">
        <v>433</v>
      </c>
      <c r="C143" s="2" t="s">
        <v>434</v>
      </c>
      <c r="D143" s="2" t="s">
        <v>435</v>
      </c>
      <c r="E143" s="3">
        <v>48901.120000000003</v>
      </c>
      <c r="F143" s="3">
        <v>48907.75</v>
      </c>
      <c r="G143" s="3">
        <v>50</v>
      </c>
      <c r="H143" s="3">
        <v>331.5</v>
      </c>
      <c r="I143" s="3">
        <v>1816.24</v>
      </c>
      <c r="J143" s="3">
        <v>426.58</v>
      </c>
      <c r="K143">
        <f t="shared" si="2"/>
        <v>1816.24</v>
      </c>
    </row>
    <row r="144" spans="1:11" x14ac:dyDescent="0.35">
      <c r="A144" s="1">
        <v>143</v>
      </c>
      <c r="B144" s="2" t="s">
        <v>436</v>
      </c>
      <c r="C144" s="2" t="s">
        <v>437</v>
      </c>
      <c r="D144" s="2" t="s">
        <v>438</v>
      </c>
      <c r="E144" s="3">
        <v>2401.1594</v>
      </c>
      <c r="F144" s="3">
        <v>2401.6383999999998</v>
      </c>
      <c r="G144" s="3">
        <v>30</v>
      </c>
      <c r="H144" s="3">
        <v>14.37</v>
      </c>
      <c r="I144" s="3">
        <v>13.83</v>
      </c>
      <c r="J144" s="3">
        <v>0</v>
      </c>
      <c r="K144">
        <f t="shared" si="2"/>
        <v>14.37</v>
      </c>
    </row>
    <row r="145" spans="1:11" x14ac:dyDescent="0.35">
      <c r="A145" s="1">
        <v>144</v>
      </c>
      <c r="B145" s="2" t="s">
        <v>439</v>
      </c>
      <c r="C145" s="2" t="s">
        <v>440</v>
      </c>
      <c r="D145" s="2" t="s">
        <v>441</v>
      </c>
      <c r="E145" s="3">
        <v>15080.949199999999</v>
      </c>
      <c r="F145" s="3">
        <v>15105.0388</v>
      </c>
      <c r="G145" s="3">
        <v>30</v>
      </c>
      <c r="H145" s="3">
        <v>722.69</v>
      </c>
      <c r="I145" s="3">
        <v>586.79999999999995</v>
      </c>
      <c r="J145" s="3">
        <v>0</v>
      </c>
      <c r="K145">
        <f t="shared" si="2"/>
        <v>722.69</v>
      </c>
    </row>
    <row r="146" spans="1:11" x14ac:dyDescent="0.35">
      <c r="A146" s="1">
        <v>145</v>
      </c>
      <c r="B146" s="2" t="s">
        <v>442</v>
      </c>
      <c r="C146" s="2" t="s">
        <v>443</v>
      </c>
      <c r="D146" s="2" t="s">
        <v>444</v>
      </c>
      <c r="E146" s="3">
        <v>50511.5</v>
      </c>
      <c r="F146" s="3">
        <v>50516.18</v>
      </c>
      <c r="G146" s="3">
        <v>80</v>
      </c>
      <c r="H146" s="3">
        <v>374.4</v>
      </c>
      <c r="I146" s="3">
        <v>901.6</v>
      </c>
      <c r="J146" s="3">
        <v>0</v>
      </c>
      <c r="K146">
        <f t="shared" si="2"/>
        <v>901.6</v>
      </c>
    </row>
    <row r="147" spans="1:11" x14ac:dyDescent="0.35">
      <c r="A147" s="1">
        <v>146</v>
      </c>
      <c r="B147" s="2" t="s">
        <v>445</v>
      </c>
      <c r="C147" s="2" t="s">
        <v>446</v>
      </c>
      <c r="D147" s="2" t="s">
        <v>447</v>
      </c>
      <c r="E147" s="3">
        <v>62407.44</v>
      </c>
      <c r="F147" s="3">
        <v>62415.89</v>
      </c>
      <c r="G147" s="3">
        <v>30</v>
      </c>
      <c r="H147" s="3">
        <v>253.5</v>
      </c>
      <c r="I147" s="3">
        <v>601.49</v>
      </c>
      <c r="J147" s="3">
        <v>0</v>
      </c>
      <c r="K147">
        <f t="shared" si="2"/>
        <v>601.49</v>
      </c>
    </row>
    <row r="148" spans="1:11" x14ac:dyDescent="0.35">
      <c r="A148" s="1">
        <v>147</v>
      </c>
      <c r="B148" s="2" t="s">
        <v>448</v>
      </c>
      <c r="C148" s="2" t="s">
        <v>449</v>
      </c>
      <c r="D148" s="2" t="s">
        <v>450</v>
      </c>
      <c r="E148" s="3">
        <v>42079.32</v>
      </c>
      <c r="F148" s="3">
        <v>42082.69</v>
      </c>
      <c r="G148" s="3">
        <v>80</v>
      </c>
      <c r="H148" s="3">
        <v>269.60000000000002</v>
      </c>
      <c r="I148" s="3">
        <v>657.95</v>
      </c>
      <c r="J148" s="3">
        <v>0</v>
      </c>
      <c r="K148">
        <f t="shared" si="2"/>
        <v>657.95</v>
      </c>
    </row>
    <row r="149" spans="1:11" x14ac:dyDescent="0.35">
      <c r="A149" s="1">
        <v>148</v>
      </c>
      <c r="B149" s="2" t="s">
        <v>451</v>
      </c>
      <c r="C149" s="2" t="s">
        <v>452</v>
      </c>
      <c r="D149" s="2" t="s">
        <v>453</v>
      </c>
      <c r="E149" s="3">
        <v>60249.459600000002</v>
      </c>
      <c r="F149" s="3">
        <v>60267.420700000002</v>
      </c>
      <c r="G149" s="3">
        <v>80</v>
      </c>
      <c r="H149" s="3">
        <v>1436.89</v>
      </c>
      <c r="I149" s="3">
        <v>1486.75</v>
      </c>
      <c r="J149" s="3">
        <v>83.82</v>
      </c>
      <c r="K149">
        <f t="shared" si="2"/>
        <v>1486.75</v>
      </c>
    </row>
    <row r="150" spans="1:11" x14ac:dyDescent="0.35">
      <c r="A150" s="1">
        <v>149</v>
      </c>
      <c r="B150" s="2" t="s">
        <v>454</v>
      </c>
      <c r="C150" s="2" t="s">
        <v>455</v>
      </c>
      <c r="D150" s="2" t="s">
        <v>456</v>
      </c>
      <c r="E150" s="3">
        <v>6041.2574000000004</v>
      </c>
      <c r="F150" s="3">
        <v>6049.1036000000004</v>
      </c>
      <c r="G150" s="3">
        <v>50</v>
      </c>
      <c r="H150" s="3">
        <v>392.31</v>
      </c>
      <c r="I150" s="3">
        <v>383.12</v>
      </c>
      <c r="J150" s="3">
        <v>0</v>
      </c>
      <c r="K150">
        <f t="shared" si="2"/>
        <v>392.31</v>
      </c>
    </row>
    <row r="151" spans="1:11" x14ac:dyDescent="0.35">
      <c r="A151" s="1">
        <v>150</v>
      </c>
      <c r="B151" s="2" t="s">
        <v>457</v>
      </c>
      <c r="C151" s="2" t="s">
        <v>458</v>
      </c>
      <c r="D151" s="2" t="s">
        <v>459</v>
      </c>
      <c r="E151" s="3">
        <v>3803.4576000000002</v>
      </c>
      <c r="F151" s="3">
        <v>3820.5823999999998</v>
      </c>
      <c r="G151" s="3">
        <v>80</v>
      </c>
      <c r="H151" s="3">
        <v>1369.98</v>
      </c>
      <c r="I151" s="3">
        <v>1673.7</v>
      </c>
      <c r="J151" s="3">
        <v>369.83</v>
      </c>
      <c r="K151">
        <f t="shared" si="2"/>
        <v>1673.7</v>
      </c>
    </row>
    <row r="152" spans="1:11" x14ac:dyDescent="0.35">
      <c r="A152" s="1">
        <v>151</v>
      </c>
      <c r="B152" s="2" t="s">
        <v>460</v>
      </c>
      <c r="C152" s="2" t="s">
        <v>461</v>
      </c>
      <c r="D152" s="2" t="s">
        <v>462</v>
      </c>
      <c r="E152" s="3">
        <v>55800.534099999997</v>
      </c>
      <c r="F152" s="3">
        <v>55822.137300000002</v>
      </c>
      <c r="G152" s="3">
        <v>50</v>
      </c>
      <c r="H152" s="3">
        <v>1080.1600000000001</v>
      </c>
      <c r="I152" s="3">
        <v>956.16</v>
      </c>
      <c r="J152" s="3">
        <v>0</v>
      </c>
      <c r="K152">
        <f t="shared" si="2"/>
        <v>1080.1600000000001</v>
      </c>
    </row>
    <row r="153" spans="1:11" x14ac:dyDescent="0.35">
      <c r="A153" s="1">
        <v>152</v>
      </c>
      <c r="B153" s="2" t="s">
        <v>463</v>
      </c>
      <c r="C153" s="2" t="s">
        <v>464</v>
      </c>
      <c r="D153" s="2" t="s">
        <v>465</v>
      </c>
      <c r="E153" s="3">
        <v>19883.261399999999</v>
      </c>
      <c r="F153" s="3">
        <v>19892.785400000001</v>
      </c>
      <c r="G153" s="3">
        <v>50</v>
      </c>
      <c r="H153" s="3">
        <v>476.2</v>
      </c>
      <c r="I153" s="3">
        <v>471.46</v>
      </c>
      <c r="J153" s="3">
        <v>0</v>
      </c>
      <c r="K153">
        <f t="shared" si="2"/>
        <v>476.2</v>
      </c>
    </row>
    <row r="154" spans="1:11" x14ac:dyDescent="0.35">
      <c r="A154" s="1">
        <v>153</v>
      </c>
      <c r="B154" s="2" t="s">
        <v>466</v>
      </c>
      <c r="C154" s="2" t="s">
        <v>467</v>
      </c>
      <c r="D154" s="2" t="s">
        <v>468</v>
      </c>
      <c r="E154" s="3">
        <v>19037.935000000001</v>
      </c>
      <c r="F154" s="3">
        <v>19059.852999999999</v>
      </c>
      <c r="G154" s="3">
        <v>15</v>
      </c>
      <c r="H154" s="3">
        <v>328.77</v>
      </c>
      <c r="I154" s="3">
        <v>317.95</v>
      </c>
      <c r="J154" s="3">
        <v>0</v>
      </c>
      <c r="K154">
        <f t="shared" si="2"/>
        <v>328.77</v>
      </c>
    </row>
    <row r="155" spans="1:11" x14ac:dyDescent="0.35">
      <c r="A155" s="1">
        <v>154</v>
      </c>
      <c r="B155" s="2" t="s">
        <v>469</v>
      </c>
      <c r="C155" s="2" t="s">
        <v>470</v>
      </c>
      <c r="D155" s="2" t="s">
        <v>471</v>
      </c>
      <c r="E155" s="3">
        <v>8395.6373999999996</v>
      </c>
      <c r="F155" s="3">
        <v>8402.3518000000004</v>
      </c>
      <c r="G155" s="3">
        <v>30</v>
      </c>
      <c r="H155" s="3">
        <v>201.43</v>
      </c>
      <c r="I155" s="3">
        <v>195.9</v>
      </c>
      <c r="J155" s="3">
        <v>0</v>
      </c>
      <c r="K155">
        <f t="shared" si="2"/>
        <v>201.43</v>
      </c>
    </row>
    <row r="156" spans="1:11" x14ac:dyDescent="0.35">
      <c r="A156" s="1">
        <v>155</v>
      </c>
      <c r="B156" s="2" t="s">
        <v>472</v>
      </c>
      <c r="C156" s="2" t="s">
        <v>473</v>
      </c>
      <c r="D156" s="2" t="s">
        <v>474</v>
      </c>
      <c r="E156" s="3">
        <v>9826.31</v>
      </c>
      <c r="F156" s="3">
        <v>9827.19</v>
      </c>
      <c r="G156" s="3">
        <v>80</v>
      </c>
      <c r="H156" s="3">
        <v>70.400000000000006</v>
      </c>
      <c r="I156" s="3">
        <v>195.63</v>
      </c>
      <c r="J156" s="3">
        <v>35.22</v>
      </c>
      <c r="K156">
        <f t="shared" si="2"/>
        <v>195.63</v>
      </c>
    </row>
    <row r="157" spans="1:11" x14ac:dyDescent="0.35">
      <c r="A157" s="1">
        <v>156</v>
      </c>
      <c r="B157" s="2" t="s">
        <v>475</v>
      </c>
      <c r="C157" s="2" t="s">
        <v>476</v>
      </c>
      <c r="D157" s="2" t="s">
        <v>477</v>
      </c>
      <c r="E157" s="3">
        <v>6740.3743999999997</v>
      </c>
      <c r="F157" s="3">
        <v>6745.0436</v>
      </c>
      <c r="G157" s="3">
        <v>80</v>
      </c>
      <c r="H157" s="3">
        <v>373.54</v>
      </c>
      <c r="I157" s="3">
        <v>364.98</v>
      </c>
      <c r="J157" s="3">
        <v>0</v>
      </c>
      <c r="K157">
        <f t="shared" si="2"/>
        <v>373.54</v>
      </c>
    </row>
    <row r="158" spans="1:11" x14ac:dyDescent="0.35">
      <c r="A158" s="1">
        <v>157</v>
      </c>
      <c r="B158" s="2" t="s">
        <v>478</v>
      </c>
      <c r="C158" s="2" t="s">
        <v>479</v>
      </c>
      <c r="D158" s="2" t="s">
        <v>480</v>
      </c>
      <c r="E158" s="3">
        <v>33060.17</v>
      </c>
      <c r="F158" s="3">
        <v>33065.35</v>
      </c>
      <c r="G158" s="3">
        <v>30</v>
      </c>
      <c r="H158" s="3">
        <v>155.4</v>
      </c>
      <c r="I158" s="3">
        <v>358.63</v>
      </c>
      <c r="J158" s="3">
        <v>0</v>
      </c>
      <c r="K158">
        <f t="shared" si="2"/>
        <v>358.63</v>
      </c>
    </row>
    <row r="159" spans="1:11" x14ac:dyDescent="0.35">
      <c r="A159" s="1">
        <v>158</v>
      </c>
      <c r="B159" s="2" t="s">
        <v>481</v>
      </c>
      <c r="C159" s="2" t="s">
        <v>482</v>
      </c>
      <c r="D159" s="2" t="s">
        <v>483</v>
      </c>
      <c r="E159" s="3">
        <v>10156.593000000001</v>
      </c>
      <c r="F159" s="3">
        <v>10169.323200000001</v>
      </c>
      <c r="G159" s="3">
        <v>30</v>
      </c>
      <c r="H159" s="3">
        <v>381.91</v>
      </c>
      <c r="I159" s="3">
        <v>370.16</v>
      </c>
      <c r="J159" s="3">
        <v>0</v>
      </c>
      <c r="K159">
        <f t="shared" si="2"/>
        <v>381.91</v>
      </c>
    </row>
    <row r="160" spans="1:11" x14ac:dyDescent="0.35">
      <c r="A160" s="1">
        <v>159</v>
      </c>
      <c r="B160" s="2" t="s">
        <v>484</v>
      </c>
      <c r="C160" s="2" t="s">
        <v>485</v>
      </c>
      <c r="D160" s="2" t="s">
        <v>486</v>
      </c>
      <c r="E160" s="3">
        <v>24150.57</v>
      </c>
      <c r="F160" s="3">
        <v>24153.61</v>
      </c>
      <c r="G160" s="3">
        <v>80</v>
      </c>
      <c r="H160" s="3">
        <v>243.2</v>
      </c>
      <c r="I160" s="3">
        <v>562.76</v>
      </c>
      <c r="J160" s="3">
        <v>0</v>
      </c>
      <c r="K160">
        <f t="shared" si="2"/>
        <v>562.76</v>
      </c>
    </row>
    <row r="161" spans="1:11" x14ac:dyDescent="0.35">
      <c r="A161" s="1">
        <v>160</v>
      </c>
      <c r="B161" s="2" t="s">
        <v>487</v>
      </c>
      <c r="C161" s="2" t="s">
        <v>488</v>
      </c>
      <c r="D161" s="2" t="s">
        <v>489</v>
      </c>
      <c r="E161" s="3">
        <v>7320.6189999999997</v>
      </c>
      <c r="F161" s="3">
        <v>7322.8516</v>
      </c>
      <c r="G161" s="3">
        <v>15</v>
      </c>
      <c r="H161" s="3">
        <v>33.49</v>
      </c>
      <c r="I161" s="3">
        <v>32.03</v>
      </c>
      <c r="J161" s="3">
        <v>0</v>
      </c>
      <c r="K161">
        <f t="shared" si="2"/>
        <v>33.49</v>
      </c>
    </row>
    <row r="162" spans="1:11" x14ac:dyDescent="0.35">
      <c r="A162" s="1">
        <v>161</v>
      </c>
      <c r="B162" s="2" t="s">
        <v>490</v>
      </c>
      <c r="C162" s="2" t="s">
        <v>491</v>
      </c>
      <c r="D162" s="2" t="s">
        <v>492</v>
      </c>
      <c r="E162" s="3">
        <v>6147.8969999999999</v>
      </c>
      <c r="F162" s="3">
        <v>6151.8037999999997</v>
      </c>
      <c r="G162" s="3">
        <v>30</v>
      </c>
      <c r="H162" s="3">
        <v>117.2</v>
      </c>
      <c r="I162" s="3">
        <v>114.06</v>
      </c>
      <c r="J162" s="3">
        <v>0</v>
      </c>
      <c r="K162">
        <f t="shared" si="2"/>
        <v>117.2</v>
      </c>
    </row>
    <row r="163" spans="1:11" x14ac:dyDescent="0.35">
      <c r="A163" s="1">
        <v>162</v>
      </c>
      <c r="B163" s="2" t="s">
        <v>493</v>
      </c>
      <c r="C163" s="2" t="s">
        <v>494</v>
      </c>
      <c r="D163" s="2" t="s">
        <v>495</v>
      </c>
      <c r="E163" s="3">
        <v>6874.4196000000002</v>
      </c>
      <c r="F163" s="3">
        <v>6885.1126000000004</v>
      </c>
      <c r="G163" s="3">
        <v>30</v>
      </c>
      <c r="H163" s="3">
        <v>320.79000000000002</v>
      </c>
      <c r="I163" s="3">
        <v>309.60000000000002</v>
      </c>
      <c r="J163" s="3">
        <v>0</v>
      </c>
      <c r="K163">
        <f t="shared" si="2"/>
        <v>320.79000000000002</v>
      </c>
    </row>
    <row r="164" spans="1:11" x14ac:dyDescent="0.35">
      <c r="A164" s="1">
        <v>163</v>
      </c>
      <c r="B164" s="2" t="s">
        <v>496</v>
      </c>
      <c r="C164" s="2" t="s">
        <v>497</v>
      </c>
      <c r="D164" s="2" t="s">
        <v>498</v>
      </c>
      <c r="E164" s="3">
        <v>20474.21</v>
      </c>
      <c r="F164" s="3">
        <v>20475.919999999998</v>
      </c>
      <c r="G164" s="3">
        <v>80</v>
      </c>
      <c r="H164" s="3">
        <v>136.80000000000001</v>
      </c>
      <c r="I164" s="3">
        <v>305.36</v>
      </c>
      <c r="J164" s="3">
        <v>0</v>
      </c>
      <c r="K164">
        <f t="shared" si="2"/>
        <v>305.36</v>
      </c>
    </row>
    <row r="165" spans="1:11" x14ac:dyDescent="0.35">
      <c r="A165" s="1">
        <v>164</v>
      </c>
      <c r="B165" s="2" t="s">
        <v>499</v>
      </c>
      <c r="C165" s="2" t="s">
        <v>500</v>
      </c>
      <c r="D165" s="2" t="s">
        <v>501</v>
      </c>
      <c r="E165" s="3">
        <v>4437.518</v>
      </c>
      <c r="F165" s="3">
        <v>4439.9341999999997</v>
      </c>
      <c r="G165" s="3">
        <v>80</v>
      </c>
      <c r="H165" s="3">
        <v>193.3</v>
      </c>
      <c r="I165" s="3">
        <v>188.41</v>
      </c>
      <c r="J165" s="3">
        <v>0</v>
      </c>
      <c r="K165">
        <f t="shared" si="2"/>
        <v>193.3</v>
      </c>
    </row>
    <row r="166" spans="1:11" x14ac:dyDescent="0.35">
      <c r="A166" s="1">
        <v>165</v>
      </c>
      <c r="B166" s="2" t="s">
        <v>502</v>
      </c>
      <c r="C166" s="2" t="s">
        <v>503</v>
      </c>
      <c r="D166" s="2" t="s">
        <v>504</v>
      </c>
      <c r="E166" s="3">
        <v>4082.5868</v>
      </c>
      <c r="F166" s="3">
        <v>4084.6869999999999</v>
      </c>
      <c r="G166" s="3">
        <v>80</v>
      </c>
      <c r="H166" s="3">
        <v>168.02</v>
      </c>
      <c r="I166" s="3">
        <v>163</v>
      </c>
      <c r="J166" s="3">
        <v>0</v>
      </c>
      <c r="K166">
        <f t="shared" si="2"/>
        <v>168.02</v>
      </c>
    </row>
    <row r="167" spans="1:11" x14ac:dyDescent="0.35">
      <c r="A167" s="1">
        <v>166</v>
      </c>
      <c r="B167" s="2" t="s">
        <v>505</v>
      </c>
      <c r="C167" s="2" t="s">
        <v>506</v>
      </c>
      <c r="D167" s="2" t="s">
        <v>507</v>
      </c>
      <c r="E167" s="3">
        <v>3913.2402000000002</v>
      </c>
      <c r="F167" s="3">
        <v>3918.7202000000002</v>
      </c>
      <c r="G167" s="3">
        <v>80</v>
      </c>
      <c r="H167" s="3">
        <v>438.4</v>
      </c>
      <c r="I167" s="3">
        <v>424.04</v>
      </c>
      <c r="J167" s="3">
        <v>0</v>
      </c>
      <c r="K167">
        <f t="shared" si="2"/>
        <v>438.4</v>
      </c>
    </row>
    <row r="168" spans="1:11" x14ac:dyDescent="0.35">
      <c r="A168" s="1">
        <v>167</v>
      </c>
      <c r="B168" s="2" t="s">
        <v>508</v>
      </c>
      <c r="C168" s="2" t="s">
        <v>509</v>
      </c>
      <c r="D168" s="2" t="s">
        <v>510</v>
      </c>
      <c r="E168" s="3">
        <v>25843.042600000001</v>
      </c>
      <c r="F168" s="3">
        <v>25851.148799999999</v>
      </c>
      <c r="G168" s="3">
        <v>80</v>
      </c>
      <c r="H168" s="3">
        <v>648.5</v>
      </c>
      <c r="I168" s="3">
        <v>1146.52</v>
      </c>
      <c r="J168" s="3">
        <v>697.48</v>
      </c>
      <c r="K168">
        <f t="shared" si="2"/>
        <v>1146.52</v>
      </c>
    </row>
    <row r="169" spans="1:11" x14ac:dyDescent="0.35">
      <c r="A169" s="1">
        <v>168</v>
      </c>
      <c r="B169" s="2" t="s">
        <v>511</v>
      </c>
      <c r="C169" s="2" t="s">
        <v>512</v>
      </c>
      <c r="D169" s="2" t="s">
        <v>513</v>
      </c>
      <c r="E169" s="3">
        <v>5918.3239999999996</v>
      </c>
      <c r="F169" s="3">
        <v>5923.0353999999998</v>
      </c>
      <c r="G169" s="3">
        <v>80</v>
      </c>
      <c r="H169" s="3">
        <v>376.91</v>
      </c>
      <c r="I169" s="3">
        <v>370.31</v>
      </c>
      <c r="J169" s="3">
        <v>0</v>
      </c>
      <c r="K169">
        <f t="shared" si="2"/>
        <v>376.91</v>
      </c>
    </row>
    <row r="170" spans="1:11" x14ac:dyDescent="0.35">
      <c r="A170" s="1">
        <v>169</v>
      </c>
      <c r="B170" s="2" t="s">
        <v>514</v>
      </c>
      <c r="C170" s="2" t="s">
        <v>515</v>
      </c>
      <c r="D170" s="2" t="s">
        <v>516</v>
      </c>
      <c r="E170" s="3">
        <v>43764.411999999997</v>
      </c>
      <c r="F170" s="3">
        <v>43774.139000000003</v>
      </c>
      <c r="G170" s="3">
        <v>80</v>
      </c>
      <c r="H170" s="3">
        <v>778.16</v>
      </c>
      <c r="I170" s="3">
        <v>1113.24</v>
      </c>
      <c r="J170" s="3">
        <v>473.27</v>
      </c>
      <c r="K170">
        <f t="shared" si="2"/>
        <v>1113.24</v>
      </c>
    </row>
    <row r="171" spans="1:11" x14ac:dyDescent="0.35">
      <c r="A171" s="1">
        <v>170</v>
      </c>
      <c r="B171" s="2" t="s">
        <v>517</v>
      </c>
      <c r="C171" s="2" t="s">
        <v>518</v>
      </c>
      <c r="D171" s="2" t="s">
        <v>519</v>
      </c>
      <c r="E171" s="3">
        <v>12707.7991</v>
      </c>
      <c r="F171" s="3">
        <v>12724.099200000001</v>
      </c>
      <c r="G171" s="3">
        <v>30</v>
      </c>
      <c r="H171" s="3">
        <v>489</v>
      </c>
      <c r="I171" s="3">
        <v>475.42</v>
      </c>
      <c r="J171" s="3">
        <v>0</v>
      </c>
      <c r="K171">
        <f t="shared" si="2"/>
        <v>489</v>
      </c>
    </row>
    <row r="172" spans="1:11" x14ac:dyDescent="0.35">
      <c r="A172" s="1">
        <v>171</v>
      </c>
      <c r="B172" s="2" t="s">
        <v>520</v>
      </c>
      <c r="C172" s="2" t="s">
        <v>521</v>
      </c>
      <c r="D172" s="2" t="s">
        <v>522</v>
      </c>
      <c r="E172" s="3">
        <v>25530.7438</v>
      </c>
      <c r="F172" s="3">
        <v>25541.7948</v>
      </c>
      <c r="G172" s="3">
        <v>80</v>
      </c>
      <c r="H172" s="3">
        <v>884.08</v>
      </c>
      <c r="I172" s="3">
        <v>1114.82</v>
      </c>
      <c r="J172" s="3">
        <v>217.46</v>
      </c>
      <c r="K172">
        <f t="shared" si="2"/>
        <v>1114.82</v>
      </c>
    </row>
    <row r="173" spans="1:11" x14ac:dyDescent="0.35">
      <c r="A173" s="1">
        <v>172</v>
      </c>
      <c r="B173" s="2" t="s">
        <v>523</v>
      </c>
      <c r="C173" s="2" t="s">
        <v>524</v>
      </c>
      <c r="D173" s="2" t="s">
        <v>525</v>
      </c>
      <c r="E173" s="3">
        <v>11019.1836</v>
      </c>
      <c r="F173" s="3">
        <v>11030.1538</v>
      </c>
      <c r="G173" s="3">
        <v>80</v>
      </c>
      <c r="H173" s="3">
        <v>877.62</v>
      </c>
      <c r="I173" s="3">
        <v>858.59</v>
      </c>
      <c r="J173" s="3">
        <v>0</v>
      </c>
      <c r="K173">
        <f t="shared" si="2"/>
        <v>877.62</v>
      </c>
    </row>
    <row r="174" spans="1:11" x14ac:dyDescent="0.35">
      <c r="A174" s="1">
        <v>173</v>
      </c>
      <c r="B174" s="2" t="s">
        <v>526</v>
      </c>
      <c r="C174" s="2" t="s">
        <v>527</v>
      </c>
      <c r="D174" s="2" t="s">
        <v>528</v>
      </c>
      <c r="E174" s="3">
        <v>6304.933</v>
      </c>
      <c r="F174" s="3">
        <v>6316.3526000000002</v>
      </c>
      <c r="G174" s="3">
        <v>80</v>
      </c>
      <c r="H174" s="3">
        <v>913.57</v>
      </c>
      <c r="I174" s="3">
        <v>917.66</v>
      </c>
      <c r="J174" s="3">
        <v>11.08</v>
      </c>
      <c r="K174">
        <f t="shared" si="2"/>
        <v>917.66</v>
      </c>
    </row>
    <row r="175" spans="1:11" x14ac:dyDescent="0.35">
      <c r="A175" s="1">
        <v>174</v>
      </c>
      <c r="B175" s="2" t="s">
        <v>529</v>
      </c>
      <c r="C175" s="2" t="s">
        <v>530</v>
      </c>
      <c r="D175" s="2" t="s">
        <v>531</v>
      </c>
      <c r="E175" s="3">
        <v>7858.1566000000003</v>
      </c>
      <c r="F175" s="3">
        <v>7861.8105999999998</v>
      </c>
      <c r="G175" s="3">
        <v>80</v>
      </c>
      <c r="H175" s="3">
        <v>292.32</v>
      </c>
      <c r="I175" s="3">
        <v>282.82</v>
      </c>
      <c r="J175" s="3">
        <v>0</v>
      </c>
      <c r="K175">
        <f t="shared" si="2"/>
        <v>292.32</v>
      </c>
    </row>
    <row r="176" spans="1:11" x14ac:dyDescent="0.35">
      <c r="A176" s="1">
        <v>175</v>
      </c>
      <c r="B176" s="2" t="s">
        <v>532</v>
      </c>
      <c r="C176" s="2" t="s">
        <v>533</v>
      </c>
      <c r="D176" s="2" t="s">
        <v>534</v>
      </c>
      <c r="E176" s="3">
        <v>6662.8693999999996</v>
      </c>
      <c r="F176" s="3">
        <v>6669.4538000000002</v>
      </c>
      <c r="G176" s="3">
        <v>50</v>
      </c>
      <c r="H176" s="3">
        <v>329.22</v>
      </c>
      <c r="I176" s="3">
        <v>321.04000000000002</v>
      </c>
      <c r="J176" s="3">
        <v>0</v>
      </c>
      <c r="K176">
        <f t="shared" si="2"/>
        <v>329.22</v>
      </c>
    </row>
    <row r="177" spans="1:11" x14ac:dyDescent="0.35">
      <c r="A177" s="1">
        <v>176</v>
      </c>
      <c r="B177" s="2" t="s">
        <v>535</v>
      </c>
      <c r="C177" s="2" t="s">
        <v>536</v>
      </c>
      <c r="D177" s="2" t="s">
        <v>537</v>
      </c>
      <c r="E177" s="3">
        <v>3765.9944</v>
      </c>
      <c r="F177" s="3">
        <v>3768.2503999999999</v>
      </c>
      <c r="G177" s="3">
        <v>50</v>
      </c>
      <c r="H177" s="3">
        <v>112.8</v>
      </c>
      <c r="I177" s="3">
        <v>109.06</v>
      </c>
      <c r="J177" s="3">
        <v>0</v>
      </c>
      <c r="K177">
        <f t="shared" si="2"/>
        <v>112.8</v>
      </c>
    </row>
    <row r="178" spans="1:11" x14ac:dyDescent="0.35">
      <c r="A178" s="1">
        <v>177</v>
      </c>
      <c r="B178" s="2" t="s">
        <v>538</v>
      </c>
      <c r="C178" s="2" t="s">
        <v>539</v>
      </c>
      <c r="D178" s="2" t="s">
        <v>540</v>
      </c>
      <c r="E178" s="3">
        <v>4211.6790000000001</v>
      </c>
      <c r="F178" s="3">
        <v>4216.6361999999999</v>
      </c>
      <c r="G178" s="3">
        <v>50</v>
      </c>
      <c r="H178" s="3">
        <v>247.86</v>
      </c>
      <c r="I178" s="3">
        <v>242.24</v>
      </c>
      <c r="J178" s="3">
        <v>0</v>
      </c>
      <c r="K178">
        <f t="shared" si="2"/>
        <v>247.86</v>
      </c>
    </row>
    <row r="179" spans="1:11" x14ac:dyDescent="0.35">
      <c r="A179" s="1">
        <v>178</v>
      </c>
      <c r="B179" s="2" t="s">
        <v>541</v>
      </c>
      <c r="C179" s="2" t="s">
        <v>542</v>
      </c>
      <c r="D179" s="2" t="s">
        <v>543</v>
      </c>
      <c r="E179" s="3">
        <v>30069.775399999999</v>
      </c>
      <c r="F179" s="3">
        <v>30081.880300000001</v>
      </c>
      <c r="G179" s="3">
        <v>30</v>
      </c>
      <c r="H179" s="3">
        <v>363.15</v>
      </c>
      <c r="I179" s="3">
        <v>521.07000000000005</v>
      </c>
      <c r="J179" s="3">
        <v>280.07</v>
      </c>
      <c r="K179">
        <f t="shared" si="2"/>
        <v>521.07000000000005</v>
      </c>
    </row>
    <row r="180" spans="1:11" x14ac:dyDescent="0.35">
      <c r="A180" s="1">
        <v>179</v>
      </c>
      <c r="B180" s="2" t="s">
        <v>544</v>
      </c>
      <c r="C180" s="2" t="s">
        <v>545</v>
      </c>
      <c r="D180" s="2" t="s">
        <v>546</v>
      </c>
      <c r="E180" s="3">
        <v>22143.028600000001</v>
      </c>
      <c r="F180" s="3">
        <v>22155.231800000001</v>
      </c>
      <c r="G180" s="3">
        <v>50</v>
      </c>
      <c r="H180" s="3">
        <v>610.16</v>
      </c>
      <c r="I180" s="3">
        <v>596.44000000000005</v>
      </c>
      <c r="J180" s="3">
        <v>0</v>
      </c>
      <c r="K180">
        <f t="shared" si="2"/>
        <v>610.16</v>
      </c>
    </row>
    <row r="181" spans="1:11" x14ac:dyDescent="0.35">
      <c r="A181" s="1">
        <v>180</v>
      </c>
      <c r="B181" s="2" t="s">
        <v>547</v>
      </c>
      <c r="C181" s="2" t="s">
        <v>548</v>
      </c>
      <c r="D181" s="2" t="s">
        <v>549</v>
      </c>
      <c r="E181" s="3">
        <v>19734.375</v>
      </c>
      <c r="F181" s="3">
        <v>19743.866399999999</v>
      </c>
      <c r="G181" s="3">
        <v>30</v>
      </c>
      <c r="H181" s="3">
        <v>284.74</v>
      </c>
      <c r="I181" s="3">
        <v>279.63</v>
      </c>
      <c r="J181" s="3">
        <v>0</v>
      </c>
      <c r="K181">
        <f t="shared" si="2"/>
        <v>284.74</v>
      </c>
    </row>
    <row r="182" spans="1:11" x14ac:dyDescent="0.35">
      <c r="A182" s="1">
        <v>181</v>
      </c>
      <c r="B182" s="2" t="s">
        <v>550</v>
      </c>
      <c r="C182" s="2" t="s">
        <v>551</v>
      </c>
      <c r="D182" s="2" t="s">
        <v>552</v>
      </c>
      <c r="E182" s="3">
        <v>11253.4184</v>
      </c>
      <c r="F182" s="3">
        <v>11266.7868</v>
      </c>
      <c r="G182" s="3">
        <v>50</v>
      </c>
      <c r="H182" s="3">
        <v>668.42</v>
      </c>
      <c r="I182" s="3">
        <v>667.66</v>
      </c>
      <c r="J182" s="3">
        <v>0</v>
      </c>
      <c r="K182">
        <f t="shared" si="2"/>
        <v>668.42</v>
      </c>
    </row>
    <row r="183" spans="1:11" x14ac:dyDescent="0.35">
      <c r="A183" s="1">
        <v>182</v>
      </c>
      <c r="B183" s="2" t="s">
        <v>553</v>
      </c>
      <c r="C183" s="2" t="s">
        <v>554</v>
      </c>
      <c r="D183" s="2" t="s">
        <v>555</v>
      </c>
      <c r="E183" s="3">
        <v>3027.23</v>
      </c>
      <c r="F183" s="3">
        <v>3032.1289999999999</v>
      </c>
      <c r="G183" s="3">
        <v>50</v>
      </c>
      <c r="H183" s="3">
        <v>244.95</v>
      </c>
      <c r="I183" s="3">
        <v>237.35</v>
      </c>
      <c r="J183" s="3">
        <v>0</v>
      </c>
      <c r="K183">
        <f t="shared" si="2"/>
        <v>244.95</v>
      </c>
    </row>
    <row r="184" spans="1:11" x14ac:dyDescent="0.35">
      <c r="A184" s="1">
        <v>183</v>
      </c>
      <c r="B184" s="2" t="s">
        <v>556</v>
      </c>
      <c r="C184" s="2" t="s">
        <v>557</v>
      </c>
      <c r="D184" s="2" t="s">
        <v>558</v>
      </c>
      <c r="E184" s="3">
        <v>15944.984200000001</v>
      </c>
      <c r="F184" s="3">
        <v>15967.7068</v>
      </c>
      <c r="G184" s="3">
        <v>50</v>
      </c>
      <c r="H184" s="3">
        <v>1136.1300000000001</v>
      </c>
      <c r="I184" s="3">
        <v>1119.05</v>
      </c>
      <c r="J184" s="3">
        <v>0</v>
      </c>
      <c r="K184">
        <f t="shared" si="2"/>
        <v>1136.1300000000001</v>
      </c>
    </row>
    <row r="185" spans="1:11" x14ac:dyDescent="0.35">
      <c r="A185" s="1">
        <v>184</v>
      </c>
      <c r="B185" s="2" t="s">
        <v>559</v>
      </c>
      <c r="C185" s="2" t="s">
        <v>560</v>
      </c>
      <c r="D185" s="2" t="s">
        <v>561</v>
      </c>
      <c r="E185" s="3">
        <v>7817.6508000000003</v>
      </c>
      <c r="F185" s="3">
        <v>7830.0784000000003</v>
      </c>
      <c r="G185" s="3">
        <v>80</v>
      </c>
      <c r="H185" s="3">
        <v>994.21</v>
      </c>
      <c r="I185" s="3">
        <v>1139.79</v>
      </c>
      <c r="J185" s="3">
        <v>171.74</v>
      </c>
      <c r="K185">
        <f t="shared" si="2"/>
        <v>1139.79</v>
      </c>
    </row>
    <row r="186" spans="1:11" x14ac:dyDescent="0.35">
      <c r="A186" s="1">
        <v>185</v>
      </c>
      <c r="B186" s="2" t="s">
        <v>562</v>
      </c>
      <c r="C186" s="2" t="s">
        <v>563</v>
      </c>
      <c r="D186" s="2" t="s">
        <v>564</v>
      </c>
      <c r="E186" s="3">
        <v>9574.3971999999994</v>
      </c>
      <c r="F186" s="3">
        <v>9587.6689999999999</v>
      </c>
      <c r="G186" s="3">
        <v>80</v>
      </c>
      <c r="H186" s="3">
        <v>1061.74</v>
      </c>
      <c r="I186" s="3">
        <v>1055.1500000000001</v>
      </c>
      <c r="J186" s="3">
        <v>31.07</v>
      </c>
      <c r="K186">
        <f t="shared" si="2"/>
        <v>1061.74</v>
      </c>
    </row>
    <row r="187" spans="1:11" x14ac:dyDescent="0.35">
      <c r="A187" s="1">
        <v>186</v>
      </c>
      <c r="B187" s="2" t="s">
        <v>565</v>
      </c>
      <c r="C187" s="2" t="s">
        <v>566</v>
      </c>
      <c r="D187" s="2" t="s">
        <v>567</v>
      </c>
      <c r="E187" s="3">
        <v>7788.2002000000002</v>
      </c>
      <c r="F187" s="3">
        <v>7793.3760000000002</v>
      </c>
      <c r="G187" s="3">
        <v>50</v>
      </c>
      <c r="H187" s="3">
        <v>258.79000000000002</v>
      </c>
      <c r="I187" s="3">
        <v>236.32</v>
      </c>
      <c r="J187" s="3">
        <v>0</v>
      </c>
      <c r="K187">
        <f t="shared" si="2"/>
        <v>258.79000000000002</v>
      </c>
    </row>
    <row r="188" spans="1:11" x14ac:dyDescent="0.35">
      <c r="A188" s="1">
        <v>187</v>
      </c>
      <c r="B188" s="2" t="s">
        <v>568</v>
      </c>
      <c r="C188" s="2" t="s">
        <v>569</v>
      </c>
      <c r="D188" s="2" t="s">
        <v>570</v>
      </c>
      <c r="E188" s="3">
        <v>6735.3054000000002</v>
      </c>
      <c r="F188" s="3">
        <v>6738.3703999999998</v>
      </c>
      <c r="G188" s="3">
        <v>50</v>
      </c>
      <c r="H188" s="3">
        <v>153.25</v>
      </c>
      <c r="I188" s="3">
        <v>149.19999999999999</v>
      </c>
      <c r="J188" s="3">
        <v>0</v>
      </c>
      <c r="K188">
        <f t="shared" si="2"/>
        <v>153.25</v>
      </c>
    </row>
    <row r="189" spans="1:11" x14ac:dyDescent="0.35">
      <c r="A189" s="1">
        <v>188</v>
      </c>
      <c r="B189" s="2" t="s">
        <v>571</v>
      </c>
      <c r="C189" s="2" t="s">
        <v>572</v>
      </c>
      <c r="D189" s="2" t="s">
        <v>573</v>
      </c>
      <c r="E189" s="3">
        <v>3760.58</v>
      </c>
      <c r="F189" s="3">
        <v>3763.6678000000002</v>
      </c>
      <c r="G189" s="3">
        <v>50</v>
      </c>
      <c r="H189" s="3">
        <v>154.38999999999999</v>
      </c>
      <c r="I189" s="3">
        <v>152.08000000000001</v>
      </c>
      <c r="J189" s="3">
        <v>0</v>
      </c>
      <c r="K189">
        <f t="shared" si="2"/>
        <v>154.38999999999999</v>
      </c>
    </row>
    <row r="190" spans="1:11" x14ac:dyDescent="0.35">
      <c r="A190" s="1">
        <v>189</v>
      </c>
      <c r="B190" s="2" t="s">
        <v>574</v>
      </c>
      <c r="C190" s="2" t="s">
        <v>575</v>
      </c>
      <c r="D190" s="2" t="s">
        <v>576</v>
      </c>
      <c r="E190" s="3">
        <v>2033.3782000000001</v>
      </c>
      <c r="F190" s="3">
        <v>2034.8624</v>
      </c>
      <c r="G190" s="3">
        <v>80</v>
      </c>
      <c r="H190" s="3">
        <v>118.74</v>
      </c>
      <c r="I190" s="3">
        <v>114.98</v>
      </c>
      <c r="J190" s="3">
        <v>0</v>
      </c>
      <c r="K190">
        <f t="shared" si="2"/>
        <v>118.74</v>
      </c>
    </row>
    <row r="191" spans="1:11" x14ac:dyDescent="0.35">
      <c r="A191" s="1">
        <v>190</v>
      </c>
      <c r="B191" s="2" t="s">
        <v>577</v>
      </c>
      <c r="C191" s="2" t="s">
        <v>578</v>
      </c>
      <c r="D191" s="2" t="s">
        <v>579</v>
      </c>
      <c r="E191" s="3">
        <v>5510.2759999999998</v>
      </c>
      <c r="F191" s="3">
        <v>5517.9462000000003</v>
      </c>
      <c r="G191" s="3">
        <v>50</v>
      </c>
      <c r="H191" s="3">
        <v>383.51</v>
      </c>
      <c r="I191" s="3">
        <v>369.38</v>
      </c>
      <c r="J191" s="3">
        <v>0</v>
      </c>
      <c r="K191">
        <f t="shared" si="2"/>
        <v>383.51</v>
      </c>
    </row>
    <row r="192" spans="1:11" x14ac:dyDescent="0.35">
      <c r="A192" s="1">
        <v>191</v>
      </c>
      <c r="B192" s="2" t="s">
        <v>580</v>
      </c>
      <c r="C192" s="2" t="s">
        <v>581</v>
      </c>
      <c r="D192" s="2" t="s">
        <v>582</v>
      </c>
      <c r="E192" s="3">
        <v>4448.4543999999996</v>
      </c>
      <c r="F192" s="3">
        <v>4453.4463999999998</v>
      </c>
      <c r="G192" s="3">
        <v>50</v>
      </c>
      <c r="H192" s="3">
        <v>249.6</v>
      </c>
      <c r="I192" s="3">
        <v>243.37</v>
      </c>
      <c r="J192" s="3">
        <v>0</v>
      </c>
      <c r="K192">
        <f t="shared" si="2"/>
        <v>249.6</v>
      </c>
    </row>
    <row r="193" spans="1:11" x14ac:dyDescent="0.35">
      <c r="A193" s="1">
        <v>192</v>
      </c>
      <c r="B193" s="2" t="s">
        <v>583</v>
      </c>
      <c r="C193" s="2" t="s">
        <v>584</v>
      </c>
      <c r="D193" s="2" t="s">
        <v>585</v>
      </c>
      <c r="E193" s="3">
        <v>35078.33</v>
      </c>
      <c r="F193" s="3">
        <v>35086.44</v>
      </c>
      <c r="G193" s="3">
        <v>30</v>
      </c>
      <c r="H193" s="3">
        <v>243.3</v>
      </c>
      <c r="I193" s="3">
        <v>590.41999999999996</v>
      </c>
      <c r="J193" s="3">
        <v>0</v>
      </c>
      <c r="K193">
        <f t="shared" si="2"/>
        <v>590.41999999999996</v>
      </c>
    </row>
    <row r="194" spans="1:11" x14ac:dyDescent="0.35">
      <c r="A194" s="1">
        <v>193</v>
      </c>
      <c r="B194" s="2" t="s">
        <v>586</v>
      </c>
      <c r="C194" s="2" t="s">
        <v>587</v>
      </c>
      <c r="D194" s="2" t="s">
        <v>588</v>
      </c>
      <c r="E194" s="3">
        <v>21314.956699999999</v>
      </c>
      <c r="F194" s="3">
        <v>21328.448100000001</v>
      </c>
      <c r="G194" s="3">
        <v>50</v>
      </c>
      <c r="H194" s="3">
        <v>674.57</v>
      </c>
      <c r="I194" s="3">
        <v>648.48</v>
      </c>
      <c r="J194" s="3">
        <v>0</v>
      </c>
      <c r="K194">
        <f t="shared" si="2"/>
        <v>674.57</v>
      </c>
    </row>
    <row r="195" spans="1:11" x14ac:dyDescent="0.35">
      <c r="A195" s="1">
        <v>194</v>
      </c>
      <c r="B195" s="2" t="s">
        <v>589</v>
      </c>
      <c r="C195" s="2" t="s">
        <v>590</v>
      </c>
      <c r="D195" s="2" t="s">
        <v>591</v>
      </c>
      <c r="E195" s="3">
        <v>21381.508099999999</v>
      </c>
      <c r="F195" s="3">
        <v>21394.912199999999</v>
      </c>
      <c r="G195" s="3">
        <v>50</v>
      </c>
      <c r="H195" s="3">
        <v>670.2</v>
      </c>
      <c r="I195" s="3">
        <v>650.84</v>
      </c>
      <c r="J195" s="3">
        <v>0</v>
      </c>
      <c r="K195">
        <f t="shared" ref="K195:K238" si="3">IF(H195&lt;=I195,I195,H195)</f>
        <v>670.2</v>
      </c>
    </row>
    <row r="196" spans="1:11" x14ac:dyDescent="0.35">
      <c r="A196" s="1">
        <v>195</v>
      </c>
      <c r="B196" s="2" t="s">
        <v>592</v>
      </c>
      <c r="C196" s="2" t="s">
        <v>593</v>
      </c>
      <c r="D196" s="2" t="s">
        <v>594</v>
      </c>
      <c r="E196" s="3">
        <v>2627.2973999999999</v>
      </c>
      <c r="F196" s="3">
        <v>2630.8231999999998</v>
      </c>
      <c r="G196" s="3">
        <v>80</v>
      </c>
      <c r="H196" s="3">
        <v>282.06</v>
      </c>
      <c r="I196" s="3">
        <v>269.25</v>
      </c>
      <c r="J196" s="3">
        <v>0</v>
      </c>
      <c r="K196">
        <f t="shared" si="3"/>
        <v>282.06</v>
      </c>
    </row>
    <row r="197" spans="1:11" x14ac:dyDescent="0.35">
      <c r="A197" s="1">
        <v>196</v>
      </c>
      <c r="B197" s="2" t="s">
        <v>595</v>
      </c>
      <c r="C197" s="2" t="s">
        <v>596</v>
      </c>
      <c r="D197" s="2" t="s">
        <v>597</v>
      </c>
      <c r="E197" s="3">
        <v>4147.1130000000003</v>
      </c>
      <c r="F197" s="3">
        <v>4149.3822</v>
      </c>
      <c r="G197" s="3">
        <v>50</v>
      </c>
      <c r="H197" s="3">
        <v>113.46</v>
      </c>
      <c r="I197" s="3">
        <v>110.3</v>
      </c>
      <c r="J197" s="3">
        <v>0</v>
      </c>
      <c r="K197">
        <f t="shared" si="3"/>
        <v>113.46</v>
      </c>
    </row>
    <row r="198" spans="1:11" x14ac:dyDescent="0.35">
      <c r="A198" s="1">
        <v>197</v>
      </c>
      <c r="B198" s="2" t="s">
        <v>598</v>
      </c>
      <c r="C198" s="2" t="s">
        <v>599</v>
      </c>
      <c r="D198" s="2" t="s">
        <v>600</v>
      </c>
      <c r="E198" s="3">
        <v>6966.3678</v>
      </c>
      <c r="F198" s="3">
        <v>6973.3365999999996</v>
      </c>
      <c r="G198" s="3">
        <v>80</v>
      </c>
      <c r="H198" s="3">
        <v>557.5</v>
      </c>
      <c r="I198" s="3">
        <v>543.37</v>
      </c>
      <c r="J198" s="3">
        <v>0</v>
      </c>
      <c r="K198">
        <f t="shared" si="3"/>
        <v>557.5</v>
      </c>
    </row>
    <row r="199" spans="1:11" x14ac:dyDescent="0.35">
      <c r="A199" s="1">
        <v>198</v>
      </c>
      <c r="B199" s="2" t="s">
        <v>601</v>
      </c>
      <c r="C199" s="2" t="s">
        <v>602</v>
      </c>
      <c r="D199" s="2" t="s">
        <v>603</v>
      </c>
      <c r="E199" s="3">
        <v>6734.5941999999995</v>
      </c>
      <c r="F199" s="3">
        <v>6742.7803999999996</v>
      </c>
      <c r="G199" s="3">
        <v>50</v>
      </c>
      <c r="H199" s="3">
        <v>409.31</v>
      </c>
      <c r="I199" s="3">
        <v>398.53</v>
      </c>
      <c r="J199" s="3">
        <v>0</v>
      </c>
      <c r="K199">
        <f t="shared" si="3"/>
        <v>409.31</v>
      </c>
    </row>
    <row r="200" spans="1:11" x14ac:dyDescent="0.35">
      <c r="A200" s="1">
        <v>199</v>
      </c>
      <c r="B200" s="2" t="s">
        <v>604</v>
      </c>
      <c r="C200" s="2" t="s">
        <v>605</v>
      </c>
      <c r="D200" s="2" t="s">
        <v>606</v>
      </c>
      <c r="E200" s="3">
        <v>11688.078</v>
      </c>
      <c r="F200" s="3">
        <v>11705.695599999999</v>
      </c>
      <c r="G200" s="3">
        <v>50</v>
      </c>
      <c r="H200" s="3">
        <v>880.88</v>
      </c>
      <c r="I200" s="3">
        <v>861.47</v>
      </c>
      <c r="J200" s="3">
        <v>0</v>
      </c>
      <c r="K200">
        <f t="shared" si="3"/>
        <v>880.88</v>
      </c>
    </row>
    <row r="201" spans="1:11" x14ac:dyDescent="0.35">
      <c r="A201" s="1">
        <v>200</v>
      </c>
      <c r="B201" s="2" t="s">
        <v>607</v>
      </c>
      <c r="C201" s="2" t="s">
        <v>608</v>
      </c>
      <c r="D201" s="2" t="s">
        <v>609</v>
      </c>
      <c r="E201" s="3">
        <v>5158.3469999999998</v>
      </c>
      <c r="F201" s="3">
        <v>5167.6444000000001</v>
      </c>
      <c r="G201" s="3">
        <v>80</v>
      </c>
      <c r="H201" s="3">
        <v>743.79</v>
      </c>
      <c r="I201" s="3">
        <v>1049.31</v>
      </c>
      <c r="J201" s="3">
        <v>503.85</v>
      </c>
      <c r="K201">
        <f t="shared" si="3"/>
        <v>1049.31</v>
      </c>
    </row>
    <row r="202" spans="1:11" x14ac:dyDescent="0.35">
      <c r="A202" s="1">
        <v>201</v>
      </c>
      <c r="B202" s="2" t="s">
        <v>610</v>
      </c>
      <c r="C202" s="2" t="s">
        <v>611</v>
      </c>
      <c r="D202" s="2" t="s">
        <v>612</v>
      </c>
      <c r="E202" s="3">
        <v>5245.3698000000004</v>
      </c>
      <c r="F202" s="3">
        <v>5250.0141999999996</v>
      </c>
      <c r="G202" s="3">
        <v>50</v>
      </c>
      <c r="H202" s="3">
        <v>232.22</v>
      </c>
      <c r="I202" s="3">
        <v>225.02</v>
      </c>
      <c r="J202" s="3">
        <v>0</v>
      </c>
      <c r="K202">
        <f t="shared" si="3"/>
        <v>232.22</v>
      </c>
    </row>
    <row r="203" spans="1:11" x14ac:dyDescent="0.35">
      <c r="A203" s="1">
        <v>202</v>
      </c>
      <c r="B203" s="2" t="s">
        <v>613</v>
      </c>
      <c r="C203" s="2" t="s">
        <v>614</v>
      </c>
      <c r="D203" s="2" t="s">
        <v>615</v>
      </c>
      <c r="E203" s="3">
        <v>6046.4852000000001</v>
      </c>
      <c r="F203" s="3">
        <v>6057.5721999999996</v>
      </c>
      <c r="G203" s="3">
        <v>50</v>
      </c>
      <c r="H203" s="3">
        <v>554.35</v>
      </c>
      <c r="I203" s="3">
        <v>510.93</v>
      </c>
      <c r="J203" s="3">
        <v>0</v>
      </c>
      <c r="K203">
        <f t="shared" si="3"/>
        <v>554.35</v>
      </c>
    </row>
    <row r="204" spans="1:11" x14ac:dyDescent="0.35">
      <c r="A204" s="1">
        <v>203</v>
      </c>
      <c r="B204" s="2" t="s">
        <v>616</v>
      </c>
      <c r="C204" s="2" t="s">
        <v>617</v>
      </c>
      <c r="D204" s="2" t="s">
        <v>618</v>
      </c>
      <c r="E204" s="3">
        <v>4344.9157999999998</v>
      </c>
      <c r="F204" s="3">
        <v>4351.1516000000001</v>
      </c>
      <c r="G204" s="3">
        <v>30</v>
      </c>
      <c r="H204" s="3">
        <v>187.07</v>
      </c>
      <c r="I204" s="3">
        <v>184.55</v>
      </c>
      <c r="J204" s="3">
        <v>0</v>
      </c>
      <c r="K204">
        <f t="shared" si="3"/>
        <v>187.07</v>
      </c>
    </row>
    <row r="205" spans="1:11" x14ac:dyDescent="0.35">
      <c r="A205" s="1">
        <v>204</v>
      </c>
      <c r="B205" s="2" t="s">
        <v>619</v>
      </c>
      <c r="C205" s="2" t="s">
        <v>620</v>
      </c>
      <c r="D205" s="2" t="s">
        <v>621</v>
      </c>
      <c r="E205" s="3">
        <v>3783.4774000000002</v>
      </c>
      <c r="F205" s="3">
        <v>3789.4274</v>
      </c>
      <c r="G205" s="3">
        <v>50</v>
      </c>
      <c r="H205" s="3">
        <v>297.5</v>
      </c>
      <c r="I205" s="3">
        <v>290.7</v>
      </c>
      <c r="J205" s="3">
        <v>0</v>
      </c>
      <c r="K205">
        <f t="shared" si="3"/>
        <v>297.5</v>
      </c>
    </row>
    <row r="206" spans="1:11" x14ac:dyDescent="0.35">
      <c r="A206" s="1">
        <v>205</v>
      </c>
      <c r="B206" s="2" t="s">
        <v>622</v>
      </c>
      <c r="C206" s="2" t="s">
        <v>623</v>
      </c>
      <c r="D206" s="2" t="s">
        <v>624</v>
      </c>
      <c r="E206" s="3">
        <v>1706.2362000000001</v>
      </c>
      <c r="F206" s="3">
        <v>1709.8671999999999</v>
      </c>
      <c r="G206" s="3">
        <v>50</v>
      </c>
      <c r="H206" s="3">
        <v>181.55</v>
      </c>
      <c r="I206" s="3">
        <v>176.93</v>
      </c>
      <c r="J206" s="3">
        <v>0</v>
      </c>
      <c r="K206">
        <f t="shared" si="3"/>
        <v>181.55</v>
      </c>
    </row>
    <row r="207" spans="1:11" x14ac:dyDescent="0.35">
      <c r="A207" s="1">
        <v>206</v>
      </c>
      <c r="B207" s="2" t="s">
        <v>625</v>
      </c>
      <c r="C207" s="2" t="s">
        <v>626</v>
      </c>
      <c r="D207" s="2" t="s">
        <v>627</v>
      </c>
      <c r="E207" s="3">
        <v>1250.3748000000001</v>
      </c>
      <c r="F207" s="3">
        <v>1254.6027999999999</v>
      </c>
      <c r="G207" s="3">
        <v>50</v>
      </c>
      <c r="H207" s="3">
        <v>211.4</v>
      </c>
      <c r="I207" s="3">
        <v>139.72999999999999</v>
      </c>
      <c r="J207" s="3">
        <v>0</v>
      </c>
      <c r="K207">
        <f t="shared" si="3"/>
        <v>211.4</v>
      </c>
    </row>
    <row r="208" spans="1:11" x14ac:dyDescent="0.35">
      <c r="A208" s="1">
        <v>207</v>
      </c>
      <c r="B208" s="2" t="s">
        <v>628</v>
      </c>
      <c r="C208" s="2" t="s">
        <v>629</v>
      </c>
      <c r="D208" s="2" t="s">
        <v>630</v>
      </c>
      <c r="E208" s="3">
        <v>2984.4430000000002</v>
      </c>
      <c r="F208" s="3">
        <v>2988.5925999999999</v>
      </c>
      <c r="G208" s="3">
        <v>80</v>
      </c>
      <c r="H208" s="3">
        <v>331.97</v>
      </c>
      <c r="I208" s="3">
        <v>322.31</v>
      </c>
      <c r="J208" s="3">
        <v>0</v>
      </c>
      <c r="K208">
        <f t="shared" si="3"/>
        <v>331.97</v>
      </c>
    </row>
    <row r="209" spans="1:11" x14ac:dyDescent="0.35">
      <c r="A209" s="1">
        <v>208</v>
      </c>
      <c r="B209" s="2" t="s">
        <v>631</v>
      </c>
      <c r="C209" s="2" t="s">
        <v>632</v>
      </c>
      <c r="D209" s="2" t="s">
        <v>633</v>
      </c>
      <c r="E209" s="3">
        <v>2728.31</v>
      </c>
      <c r="F209" s="3">
        <v>2729.7723999999998</v>
      </c>
      <c r="G209" s="3">
        <v>50</v>
      </c>
      <c r="H209" s="3">
        <v>73.12</v>
      </c>
      <c r="I209" s="3">
        <v>70.33</v>
      </c>
      <c r="J209" s="3">
        <v>0</v>
      </c>
      <c r="K209">
        <f t="shared" si="3"/>
        <v>73.12</v>
      </c>
    </row>
    <row r="210" spans="1:11" x14ac:dyDescent="0.35">
      <c r="A210" s="1">
        <v>209</v>
      </c>
      <c r="B210" s="2" t="s">
        <v>634</v>
      </c>
      <c r="C210" s="2" t="s">
        <v>635</v>
      </c>
      <c r="D210" s="2" t="s">
        <v>636</v>
      </c>
      <c r="E210" s="3">
        <v>3931.3204000000001</v>
      </c>
      <c r="F210" s="3">
        <v>3937.2476000000001</v>
      </c>
      <c r="G210" s="3">
        <v>50</v>
      </c>
      <c r="H210" s="3">
        <v>296.36</v>
      </c>
      <c r="I210" s="3">
        <v>287.35000000000002</v>
      </c>
      <c r="J210" s="3">
        <v>0</v>
      </c>
      <c r="K210">
        <f t="shared" si="3"/>
        <v>296.36</v>
      </c>
    </row>
    <row r="211" spans="1:11" x14ac:dyDescent="0.35">
      <c r="A211" s="1">
        <v>210</v>
      </c>
      <c r="B211" s="2" t="s">
        <v>637</v>
      </c>
      <c r="C211" s="2" t="s">
        <v>638</v>
      </c>
      <c r="D211" s="2" t="s">
        <v>639</v>
      </c>
      <c r="E211" s="3">
        <v>3835.5781999999999</v>
      </c>
      <c r="F211" s="3">
        <v>3846.2451999999998</v>
      </c>
      <c r="G211" s="3">
        <v>80</v>
      </c>
      <c r="H211" s="3">
        <v>853.36</v>
      </c>
      <c r="I211" s="3">
        <v>905.44</v>
      </c>
      <c r="J211" s="3">
        <v>71.98</v>
      </c>
      <c r="K211">
        <f t="shared" si="3"/>
        <v>905.44</v>
      </c>
    </row>
    <row r="212" spans="1:11" x14ac:dyDescent="0.35">
      <c r="A212" s="1">
        <v>211</v>
      </c>
      <c r="B212" s="2" t="s">
        <v>640</v>
      </c>
      <c r="C212" s="2" t="s">
        <v>641</v>
      </c>
      <c r="D212" s="2" t="s">
        <v>642</v>
      </c>
      <c r="E212" s="3">
        <v>54584.97</v>
      </c>
      <c r="F212" s="3">
        <v>54588.72</v>
      </c>
      <c r="G212" s="3">
        <v>100</v>
      </c>
      <c r="H212" s="3">
        <v>375</v>
      </c>
      <c r="I212" s="3">
        <v>1123.1500000000001</v>
      </c>
      <c r="J212" s="3">
        <v>189.03</v>
      </c>
      <c r="K212">
        <f t="shared" si="3"/>
        <v>1123.1500000000001</v>
      </c>
    </row>
    <row r="213" spans="1:11" x14ac:dyDescent="0.35">
      <c r="A213" s="1">
        <v>212</v>
      </c>
      <c r="B213" s="2" t="s">
        <v>643</v>
      </c>
      <c r="C213" s="2" t="s">
        <v>644</v>
      </c>
      <c r="D213" s="2" t="s">
        <v>645</v>
      </c>
      <c r="E213" s="3">
        <v>24365.19</v>
      </c>
      <c r="F213" s="3">
        <v>24367.72</v>
      </c>
      <c r="G213" s="3">
        <v>80</v>
      </c>
      <c r="H213" s="3">
        <v>202.4</v>
      </c>
      <c r="I213" s="3">
        <v>909.99</v>
      </c>
      <c r="J213" s="3">
        <v>152.76</v>
      </c>
      <c r="K213">
        <f t="shared" si="3"/>
        <v>909.99</v>
      </c>
    </row>
    <row r="214" spans="1:11" x14ac:dyDescent="0.35">
      <c r="A214" s="1">
        <v>213</v>
      </c>
      <c r="B214" s="2" t="s">
        <v>646</v>
      </c>
      <c r="C214" s="2" t="s">
        <v>647</v>
      </c>
      <c r="D214" s="2" t="s">
        <v>648</v>
      </c>
      <c r="E214" s="3">
        <v>57440.085099999997</v>
      </c>
      <c r="F214" s="3">
        <v>57466.6374</v>
      </c>
      <c r="G214" s="3">
        <v>15</v>
      </c>
      <c r="H214" s="3">
        <v>398.28</v>
      </c>
      <c r="I214" s="3">
        <v>376.85</v>
      </c>
      <c r="J214" s="3">
        <v>0</v>
      </c>
      <c r="K214">
        <f t="shared" si="3"/>
        <v>398.28</v>
      </c>
    </row>
    <row r="215" spans="1:11" x14ac:dyDescent="0.35">
      <c r="A215" s="1">
        <v>214</v>
      </c>
      <c r="B215" s="2" t="s">
        <v>649</v>
      </c>
      <c r="C215" s="2" t="s">
        <v>650</v>
      </c>
      <c r="D215" s="2" t="s">
        <v>651</v>
      </c>
      <c r="E215" s="3">
        <v>9491.8223999999991</v>
      </c>
      <c r="F215" s="3">
        <v>9501.6291999999994</v>
      </c>
      <c r="G215" s="3">
        <v>50</v>
      </c>
      <c r="H215" s="3">
        <v>490.34</v>
      </c>
      <c r="I215" s="3">
        <v>473.51</v>
      </c>
      <c r="J215" s="3">
        <v>0</v>
      </c>
      <c r="K215">
        <f t="shared" si="3"/>
        <v>490.34</v>
      </c>
    </row>
    <row r="216" spans="1:11" x14ac:dyDescent="0.35">
      <c r="A216" s="1">
        <v>215</v>
      </c>
      <c r="B216" s="2" t="s">
        <v>652</v>
      </c>
      <c r="C216" s="2" t="s">
        <v>653</v>
      </c>
      <c r="D216" s="2" t="s">
        <v>654</v>
      </c>
      <c r="E216" s="3">
        <v>42914.668799999999</v>
      </c>
      <c r="F216" s="3">
        <v>42928.5386</v>
      </c>
      <c r="G216" s="3">
        <v>20</v>
      </c>
      <c r="H216" s="3">
        <v>277.39999999999998</v>
      </c>
      <c r="I216" s="3">
        <v>248.79</v>
      </c>
      <c r="J216" s="3">
        <v>0</v>
      </c>
      <c r="K216">
        <f t="shared" si="3"/>
        <v>277.39999999999998</v>
      </c>
    </row>
    <row r="217" spans="1:11" x14ac:dyDescent="0.35">
      <c r="A217" s="1">
        <v>216</v>
      </c>
      <c r="B217" s="2" t="s">
        <v>655</v>
      </c>
      <c r="C217" s="2" t="s">
        <v>656</v>
      </c>
      <c r="D217" s="2" t="s">
        <v>657</v>
      </c>
      <c r="E217" s="3">
        <v>35823.629200000003</v>
      </c>
      <c r="F217" s="3">
        <v>35840.322500000002</v>
      </c>
      <c r="G217" s="3">
        <v>20</v>
      </c>
      <c r="H217" s="3">
        <v>333.87</v>
      </c>
      <c r="I217" s="3">
        <v>318.92</v>
      </c>
      <c r="J217" s="3">
        <v>0</v>
      </c>
      <c r="K217">
        <f t="shared" si="3"/>
        <v>333.87</v>
      </c>
    </row>
    <row r="218" spans="1:11" x14ac:dyDescent="0.35">
      <c r="A218" s="1">
        <v>217</v>
      </c>
      <c r="B218" s="2" t="s">
        <v>658</v>
      </c>
      <c r="C218" s="2" t="s">
        <v>659</v>
      </c>
      <c r="D218" s="2" t="s">
        <v>660</v>
      </c>
      <c r="E218" s="3">
        <v>21308.186699999998</v>
      </c>
      <c r="F218" s="3">
        <v>21317.919399999999</v>
      </c>
      <c r="G218" s="3">
        <v>80</v>
      </c>
      <c r="H218" s="3">
        <v>778.62</v>
      </c>
      <c r="I218" s="3">
        <v>831.08</v>
      </c>
      <c r="J218" s="3">
        <v>81.680000000000007</v>
      </c>
      <c r="K218">
        <f t="shared" si="3"/>
        <v>831.08</v>
      </c>
    </row>
    <row r="219" spans="1:11" x14ac:dyDescent="0.35">
      <c r="A219" s="1">
        <v>218</v>
      </c>
      <c r="B219" s="2" t="s">
        <v>661</v>
      </c>
      <c r="C219" s="2" t="s">
        <v>662</v>
      </c>
      <c r="D219" s="2" t="s">
        <v>663</v>
      </c>
      <c r="E219" s="3">
        <v>3248.1149999999998</v>
      </c>
      <c r="F219" s="3">
        <v>3253.1844000000001</v>
      </c>
      <c r="G219" s="3">
        <v>30</v>
      </c>
      <c r="H219" s="3">
        <v>152.08000000000001</v>
      </c>
      <c r="I219" s="3">
        <v>148.05000000000001</v>
      </c>
      <c r="J219" s="3">
        <v>0</v>
      </c>
      <c r="K219">
        <f t="shared" si="3"/>
        <v>152.08000000000001</v>
      </c>
    </row>
    <row r="220" spans="1:11" x14ac:dyDescent="0.35">
      <c r="A220" s="1">
        <v>219</v>
      </c>
      <c r="B220" s="2" t="s">
        <v>664</v>
      </c>
      <c r="C220" s="2" t="s">
        <v>665</v>
      </c>
      <c r="D220" s="2" t="s">
        <v>666</v>
      </c>
      <c r="E220" s="3">
        <v>7904.2284</v>
      </c>
      <c r="F220" s="3">
        <v>7912.2085999999999</v>
      </c>
      <c r="G220" s="3">
        <v>50</v>
      </c>
      <c r="H220" s="3">
        <v>399.01</v>
      </c>
      <c r="I220" s="3">
        <v>383.47</v>
      </c>
      <c r="J220" s="3">
        <v>0</v>
      </c>
      <c r="K220">
        <f t="shared" si="3"/>
        <v>399.01</v>
      </c>
    </row>
    <row r="221" spans="1:11" x14ac:dyDescent="0.35">
      <c r="A221" s="1">
        <v>220</v>
      </c>
      <c r="B221" s="2" t="s">
        <v>667</v>
      </c>
      <c r="C221" s="2" t="s">
        <v>668</v>
      </c>
      <c r="D221" s="2" t="s">
        <v>669</v>
      </c>
      <c r="E221" s="3">
        <v>45190762.810000002</v>
      </c>
      <c r="F221" s="3">
        <v>45190764.200000003</v>
      </c>
      <c r="G221" s="3">
        <v>30</v>
      </c>
      <c r="H221" s="3">
        <v>41.7</v>
      </c>
      <c r="I221" s="3">
        <v>167.05</v>
      </c>
      <c r="J221" s="3">
        <v>0</v>
      </c>
      <c r="K221">
        <f t="shared" si="3"/>
        <v>167.05</v>
      </c>
    </row>
    <row r="222" spans="1:11" x14ac:dyDescent="0.35">
      <c r="A222" s="1">
        <v>221</v>
      </c>
      <c r="B222" s="2" t="s">
        <v>670</v>
      </c>
      <c r="C222" s="2" t="s">
        <v>671</v>
      </c>
      <c r="D222" s="2" t="s">
        <v>672</v>
      </c>
      <c r="E222" s="3">
        <v>3965.0839999999998</v>
      </c>
      <c r="F222" s="3">
        <v>3968.5171999999998</v>
      </c>
      <c r="G222" s="3">
        <v>60</v>
      </c>
      <c r="H222" s="3">
        <v>205.99</v>
      </c>
      <c r="I222" s="3">
        <v>202.11</v>
      </c>
      <c r="J222" s="3">
        <v>0</v>
      </c>
      <c r="K222">
        <f t="shared" si="3"/>
        <v>205.99</v>
      </c>
    </row>
    <row r="223" spans="1:11" x14ac:dyDescent="0.35">
      <c r="A223" s="1">
        <v>222</v>
      </c>
      <c r="B223" s="2" t="s">
        <v>673</v>
      </c>
      <c r="C223" s="2" t="s">
        <v>674</v>
      </c>
      <c r="D223" s="2" t="s">
        <v>675</v>
      </c>
      <c r="E223" s="3">
        <v>37966.199999999997</v>
      </c>
      <c r="F223" s="3">
        <v>37970.18</v>
      </c>
      <c r="G223" s="3">
        <v>80</v>
      </c>
      <c r="H223" s="3">
        <v>318.39999999999998</v>
      </c>
      <c r="I223" s="3">
        <v>760.31</v>
      </c>
      <c r="J223" s="3">
        <v>0</v>
      </c>
      <c r="K223">
        <f t="shared" si="3"/>
        <v>760.31</v>
      </c>
    </row>
    <row r="224" spans="1:11" x14ac:dyDescent="0.35">
      <c r="A224" s="1">
        <v>223</v>
      </c>
      <c r="B224" s="2" t="s">
        <v>676</v>
      </c>
      <c r="C224" s="2" t="s">
        <v>677</v>
      </c>
      <c r="D224" s="2" t="s">
        <v>678</v>
      </c>
      <c r="E224" s="3">
        <v>5021.0906000000004</v>
      </c>
      <c r="F224" s="3">
        <v>5027.5742</v>
      </c>
      <c r="G224" s="3">
        <v>80</v>
      </c>
      <c r="H224" s="3">
        <v>518.69000000000005</v>
      </c>
      <c r="I224" s="3">
        <v>507.8</v>
      </c>
      <c r="J224" s="3">
        <v>0</v>
      </c>
      <c r="K224">
        <f t="shared" si="3"/>
        <v>518.69000000000005</v>
      </c>
    </row>
    <row r="225" spans="1:11" x14ac:dyDescent="0.35">
      <c r="A225" s="1">
        <v>224</v>
      </c>
      <c r="B225" s="2" t="s">
        <v>679</v>
      </c>
      <c r="C225" s="2" t="s">
        <v>680</v>
      </c>
      <c r="D225" s="2" t="s">
        <v>681</v>
      </c>
      <c r="E225" s="3">
        <v>9719.4</v>
      </c>
      <c r="F225" s="3">
        <v>9719.73</v>
      </c>
      <c r="G225" s="3">
        <v>60</v>
      </c>
      <c r="H225" s="3">
        <v>19.8</v>
      </c>
      <c r="I225" s="3">
        <v>53.33</v>
      </c>
      <c r="J225" s="3">
        <v>0</v>
      </c>
      <c r="K225">
        <f t="shared" si="3"/>
        <v>53.33</v>
      </c>
    </row>
    <row r="226" spans="1:11" x14ac:dyDescent="0.35">
      <c r="A226" s="1">
        <v>225</v>
      </c>
      <c r="B226" s="2" t="s">
        <v>682</v>
      </c>
      <c r="C226" s="2" t="s">
        <v>683</v>
      </c>
      <c r="D226" s="2" t="s">
        <v>684</v>
      </c>
      <c r="E226" s="3">
        <v>17925.830000000002</v>
      </c>
      <c r="F226" s="3">
        <v>17926.27</v>
      </c>
      <c r="G226" s="3">
        <v>80</v>
      </c>
      <c r="H226" s="3">
        <v>35.200000000000003</v>
      </c>
      <c r="I226" s="3">
        <v>82.34</v>
      </c>
      <c r="J226" s="3">
        <v>0</v>
      </c>
      <c r="K226">
        <f t="shared" si="3"/>
        <v>82.34</v>
      </c>
    </row>
    <row r="227" spans="1:11" x14ac:dyDescent="0.35">
      <c r="A227" s="1">
        <v>226</v>
      </c>
      <c r="B227" s="2" t="s">
        <v>685</v>
      </c>
      <c r="C227" s="2" t="s">
        <v>686</v>
      </c>
      <c r="D227" s="2" t="s">
        <v>687</v>
      </c>
      <c r="E227" s="3">
        <v>51404.053699999997</v>
      </c>
      <c r="F227" s="3">
        <v>51420.884400000003</v>
      </c>
      <c r="G227" s="3">
        <v>50</v>
      </c>
      <c r="H227" s="3">
        <v>841.54</v>
      </c>
      <c r="I227" s="3">
        <v>807.88</v>
      </c>
      <c r="J227" s="3">
        <v>0</v>
      </c>
      <c r="K227">
        <f t="shared" si="3"/>
        <v>841.54</v>
      </c>
    </row>
    <row r="228" spans="1:11" x14ac:dyDescent="0.35">
      <c r="A228" s="1">
        <v>227</v>
      </c>
      <c r="B228" s="2" t="s">
        <v>688</v>
      </c>
      <c r="C228" s="2" t="s">
        <v>689</v>
      </c>
      <c r="D228" s="2" t="s">
        <v>690</v>
      </c>
      <c r="E228" s="3">
        <v>4421.8011999999999</v>
      </c>
      <c r="F228" s="3">
        <v>4423.9781999999996</v>
      </c>
      <c r="G228" s="3">
        <v>30</v>
      </c>
      <c r="H228" s="3">
        <v>65.31</v>
      </c>
      <c r="I228" s="3">
        <v>62.49</v>
      </c>
      <c r="J228" s="3">
        <v>0</v>
      </c>
      <c r="K228">
        <f t="shared" si="3"/>
        <v>65.31</v>
      </c>
    </row>
    <row r="229" spans="1:11" x14ac:dyDescent="0.35">
      <c r="A229" s="1">
        <v>228</v>
      </c>
      <c r="B229" s="2" t="s">
        <v>691</v>
      </c>
      <c r="C229" s="2" t="s">
        <v>692</v>
      </c>
      <c r="D229" s="2" t="s">
        <v>693</v>
      </c>
      <c r="E229" s="3">
        <v>29505.359799999998</v>
      </c>
      <c r="F229" s="3">
        <v>29508.5304</v>
      </c>
      <c r="G229" s="3">
        <v>30</v>
      </c>
      <c r="H229" s="3">
        <v>95.12</v>
      </c>
      <c r="I229" s="3">
        <v>94.25</v>
      </c>
      <c r="J229" s="3">
        <v>0</v>
      </c>
      <c r="K229">
        <f t="shared" si="3"/>
        <v>95.12</v>
      </c>
    </row>
    <row r="230" spans="1:11" x14ac:dyDescent="0.35">
      <c r="A230" s="1">
        <v>229</v>
      </c>
      <c r="B230" s="2" t="s">
        <v>694</v>
      </c>
      <c r="C230" s="2" t="s">
        <v>695</v>
      </c>
      <c r="D230" s="2" t="s">
        <v>696</v>
      </c>
      <c r="E230" s="3">
        <v>0</v>
      </c>
      <c r="F230" s="3">
        <v>0</v>
      </c>
      <c r="G230" s="3">
        <v>40</v>
      </c>
      <c r="H230" s="3">
        <v>0</v>
      </c>
      <c r="I230" s="3">
        <v>93.68</v>
      </c>
      <c r="J230" s="3">
        <v>0</v>
      </c>
      <c r="K230">
        <f t="shared" si="3"/>
        <v>93.68</v>
      </c>
    </row>
    <row r="231" spans="1:11" x14ac:dyDescent="0.35">
      <c r="A231" s="1">
        <v>230</v>
      </c>
      <c r="B231" s="2" t="s">
        <v>697</v>
      </c>
      <c r="C231" s="2" t="s">
        <v>698</v>
      </c>
      <c r="D231" s="2" t="s">
        <v>699</v>
      </c>
      <c r="E231" s="3">
        <v>19762.073799999998</v>
      </c>
      <c r="F231" s="3">
        <v>19770.0759</v>
      </c>
      <c r="G231" s="3">
        <v>30</v>
      </c>
      <c r="H231" s="3">
        <v>240.06</v>
      </c>
      <c r="I231" s="3">
        <v>233.88</v>
      </c>
      <c r="J231" s="3">
        <v>0</v>
      </c>
      <c r="K231">
        <f t="shared" si="3"/>
        <v>240.06</v>
      </c>
    </row>
    <row r="232" spans="1:11" x14ac:dyDescent="0.35">
      <c r="A232" s="1">
        <v>231</v>
      </c>
      <c r="B232" s="2" t="s">
        <v>700</v>
      </c>
      <c r="C232" s="2" t="s">
        <v>701</v>
      </c>
      <c r="D232" s="2" t="s">
        <v>702</v>
      </c>
      <c r="E232" s="3">
        <v>4732.6899999999996</v>
      </c>
      <c r="F232" s="3">
        <v>4733.84</v>
      </c>
      <c r="G232" s="3">
        <v>80</v>
      </c>
      <c r="H232" s="3">
        <v>92</v>
      </c>
      <c r="I232" s="3">
        <v>326.99</v>
      </c>
      <c r="J232" s="3">
        <v>118.55</v>
      </c>
      <c r="K232">
        <f t="shared" si="3"/>
        <v>326.99</v>
      </c>
    </row>
    <row r="233" spans="1:11" x14ac:dyDescent="0.35">
      <c r="A233" s="1">
        <v>232</v>
      </c>
      <c r="B233" s="2" t="s">
        <v>703</v>
      </c>
      <c r="C233" s="2" t="s">
        <v>704</v>
      </c>
      <c r="D233" s="2" t="s">
        <v>705</v>
      </c>
      <c r="E233" s="3">
        <v>29772.6096</v>
      </c>
      <c r="F233" s="3">
        <v>29774.059099999999</v>
      </c>
      <c r="G233" s="3">
        <v>80</v>
      </c>
      <c r="H233" s="3">
        <v>115.96</v>
      </c>
      <c r="I233" s="3">
        <v>114.1</v>
      </c>
      <c r="J233" s="3">
        <v>0</v>
      </c>
      <c r="K233">
        <f t="shared" si="3"/>
        <v>115.96</v>
      </c>
    </row>
    <row r="234" spans="1:11" x14ac:dyDescent="0.35">
      <c r="A234" s="1">
        <v>233</v>
      </c>
      <c r="B234" s="2" t="s">
        <v>706</v>
      </c>
      <c r="C234" s="2" t="s">
        <v>707</v>
      </c>
      <c r="D234" s="2" t="s">
        <v>708</v>
      </c>
      <c r="E234" s="3">
        <v>4813.8531999999996</v>
      </c>
      <c r="F234" s="3">
        <v>4818.5342000000001</v>
      </c>
      <c r="G234" s="3">
        <v>80</v>
      </c>
      <c r="H234" s="3">
        <v>374.48</v>
      </c>
      <c r="I234" s="3">
        <v>7589.07</v>
      </c>
      <c r="J234" s="3">
        <v>0</v>
      </c>
      <c r="K234">
        <f t="shared" si="3"/>
        <v>7589.07</v>
      </c>
    </row>
    <row r="235" spans="1:11" x14ac:dyDescent="0.35">
      <c r="A235" s="1">
        <v>234</v>
      </c>
      <c r="B235" s="2" t="s">
        <v>709</v>
      </c>
      <c r="C235" s="2" t="s">
        <v>710</v>
      </c>
      <c r="D235" s="2" t="s">
        <v>711</v>
      </c>
      <c r="E235" s="3">
        <v>3663.8568</v>
      </c>
      <c r="F235" s="3">
        <v>3669.7916</v>
      </c>
      <c r="G235" s="3">
        <v>30</v>
      </c>
      <c r="H235" s="3">
        <v>178.04</v>
      </c>
      <c r="I235" s="3">
        <v>170.07</v>
      </c>
      <c r="J235" s="3">
        <v>0</v>
      </c>
      <c r="K235">
        <f t="shared" si="3"/>
        <v>178.04</v>
      </c>
    </row>
    <row r="236" spans="1:11" x14ac:dyDescent="0.35">
      <c r="A236" s="1">
        <v>235</v>
      </c>
      <c r="B236" s="2" t="s">
        <v>712</v>
      </c>
      <c r="C236" s="2" t="s">
        <v>713</v>
      </c>
      <c r="D236" s="2" t="s">
        <v>714</v>
      </c>
      <c r="E236" s="3">
        <v>4737.4683999999997</v>
      </c>
      <c r="F236" s="3">
        <v>4743.2340000000004</v>
      </c>
      <c r="G236" s="3">
        <v>50</v>
      </c>
      <c r="H236" s="3">
        <v>288.27999999999997</v>
      </c>
      <c r="I236" s="3">
        <v>275.57</v>
      </c>
      <c r="J236" s="3">
        <v>0</v>
      </c>
      <c r="K236">
        <f t="shared" si="3"/>
        <v>288.27999999999997</v>
      </c>
    </row>
    <row r="237" spans="1:11" x14ac:dyDescent="0.35">
      <c r="A237" s="1">
        <v>236</v>
      </c>
      <c r="B237" s="2" t="s">
        <v>715</v>
      </c>
      <c r="C237" s="2" t="s">
        <v>716</v>
      </c>
      <c r="D237" s="2" t="s">
        <v>717</v>
      </c>
      <c r="E237" s="3">
        <v>1465.5853999999999</v>
      </c>
      <c r="F237" s="3">
        <v>1467.5686000000001</v>
      </c>
      <c r="G237" s="3">
        <v>80</v>
      </c>
      <c r="H237" s="3">
        <v>158.66</v>
      </c>
      <c r="I237" s="3">
        <v>154.91</v>
      </c>
      <c r="J237" s="3">
        <v>0</v>
      </c>
      <c r="K237">
        <f t="shared" si="3"/>
        <v>158.66</v>
      </c>
    </row>
    <row r="238" spans="1:11" x14ac:dyDescent="0.35">
      <c r="A238" s="1">
        <v>237</v>
      </c>
      <c r="B238" s="2" t="s">
        <v>718</v>
      </c>
      <c r="C238" s="2" t="s">
        <v>719</v>
      </c>
      <c r="D238" s="2" t="s">
        <v>720</v>
      </c>
      <c r="E238" s="3">
        <v>3197.8485999999998</v>
      </c>
      <c r="F238" s="3">
        <v>3206.3780000000002</v>
      </c>
      <c r="G238" s="3">
        <v>50</v>
      </c>
      <c r="H238" s="3">
        <v>426.47</v>
      </c>
      <c r="I238" s="3">
        <v>417.8</v>
      </c>
      <c r="J238" s="3">
        <v>0</v>
      </c>
      <c r="K238">
        <f t="shared" si="3"/>
        <v>426.47</v>
      </c>
    </row>
    <row r="239" spans="1:11" x14ac:dyDescent="0.35">
      <c r="H239" s="6">
        <f>SUM(H2:H238)</f>
        <v>78563.039999999979</v>
      </c>
      <c r="I239" s="6">
        <f t="shared" ref="I239:K239" si="4">SUM(I2:I238)</f>
        <v>130208.77000000009</v>
      </c>
      <c r="J239" s="6">
        <f t="shared" si="4"/>
        <v>10252.309999999998</v>
      </c>
      <c r="K239" s="6">
        <f t="shared" si="4"/>
        <v>131863.41000000009</v>
      </c>
    </row>
  </sheetData>
  <conditionalFormatting sqref="K2:K238">
    <cfRule type="expression" dxfId="2" priority="2">
      <formula>IF(H2&lt;=I2,I2,H2)</formula>
    </cfRule>
    <cfRule type="expression" dxfId="1" priority="1">
      <formula>"h2&lt;&gt;k2"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ChiTiet_DauTram_TBA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Viet Thi</cp:lastModifiedBy>
  <dcterms:created xsi:type="dcterms:W3CDTF">2026-09-12T15:27:18Z</dcterms:created>
  <dcterms:modified xsi:type="dcterms:W3CDTF">2026-09-12T15:34:07Z</dcterms:modified>
</cp:coreProperties>
</file>