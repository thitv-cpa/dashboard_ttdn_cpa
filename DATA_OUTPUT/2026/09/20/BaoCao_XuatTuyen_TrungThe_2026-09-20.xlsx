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C_XuatTuyen_T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color rgb="001F4E78"/>
      <sz val="14"/>
    </font>
    <font>
      <name val="Times New Roman"/>
      <b val="1"/>
      <color rgb="00333333"/>
      <sz val="11"/>
    </font>
    <font>
      <name val="Times New Roman"/>
      <b val="1"/>
      <color rgb="00FFFFFF"/>
      <sz val="9"/>
    </font>
    <font>
      <name val="Times New Roman"/>
      <i val="1"/>
      <color rgb="00E0E0E0"/>
      <sz val="8"/>
    </font>
    <font>
      <name val="Times New Roman"/>
      <sz val="9"/>
    </font>
    <font>
      <name val="Times New Roman"/>
      <b val="1"/>
      <color rgb="00002060"/>
      <sz val="10"/>
    </font>
    <font>
      <name val="Times New Roman"/>
      <b val="1"/>
      <sz val="10"/>
    </font>
  </fonts>
  <fills count="5">
    <fill>
      <patternFill/>
    </fill>
    <fill>
      <patternFill patternType="gray125"/>
    </fill>
    <fill>
      <patternFill patternType="solid">
        <fgColor rgb="00005A9C"/>
        <bgColor rgb="00005A9C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7" fillId="3" borderId="1" pivotButton="0" quotePrefix="0" xfId="0"/>
    <xf numFmtId="3" fontId="7" fillId="3" borderId="1" applyAlignment="1" pivotButton="0" quotePrefix="0" xfId="0">
      <alignment horizontal="right" vertical="center"/>
    </xf>
    <xf numFmtId="4" fontId="7" fillId="3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3" fontId="6" fillId="0" borderId="1" applyAlignment="1" pivotButton="0" quotePrefix="0" xfId="0">
      <alignment horizontal="right" vertical="center"/>
    </xf>
    <xf numFmtId="4" fontId="6" fillId="0" borderId="1" applyAlignment="1" pivotButton="0" quotePrefix="0" xfId="0">
      <alignment horizontal="right" vertical="center"/>
    </xf>
    <xf numFmtId="0" fontId="8" fillId="4" borderId="1" pivotButton="0" quotePrefix="0" xfId="0"/>
    <xf numFmtId="3" fontId="8" fillId="4" borderId="1" applyAlignment="1" pivotButton="0" quotePrefix="0" xfId="0">
      <alignment horizontal="right" vertical="center"/>
    </xf>
    <xf numFmtId="4" fontId="8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3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15" customWidth="1" min="3" max="3"/>
    <col width="15" customWidth="1" min="4" max="4"/>
    <col width="14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4" customWidth="1" min="11" max="11"/>
    <col width="15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CÔNG TY ĐIỆN LỰC GIA LAI</t>
        </is>
      </c>
    </row>
    <row r="2">
      <c r="A2" s="1" t="inlineStr">
        <is>
          <t>Điện lực Chư Păh</t>
        </is>
      </c>
    </row>
    <row r="4">
      <c r="A4" s="2" t="inlineStr">
        <is>
          <t>BÁO CÁO TỔN THẤT ĐIỆN NĂNG TRUYỀN TẢI VÀ PHÂN PHỐI</t>
        </is>
      </c>
    </row>
    <row r="5">
      <c r="A5" s="3" t="inlineStr">
        <is>
          <t>Tháng 09 năm 2026</t>
        </is>
      </c>
    </row>
    <row r="7">
      <c r="A7" s="4" t="inlineStr">
        <is>
          <t>TT</t>
        </is>
      </c>
      <c r="B7" s="4" t="inlineStr">
        <is>
          <t>Tên lộ đường dây</t>
        </is>
      </c>
      <c r="C7" s="4" t="inlineStr">
        <is>
          <t>Đầu nguồn</t>
        </is>
      </c>
      <c r="D7" s="4" t="n"/>
      <c r="E7" s="4" t="n"/>
      <c r="F7" s="4" t="n"/>
      <c r="G7" s="4" t="inlineStr">
        <is>
          <t>Thương phẩm</t>
        </is>
      </c>
      <c r="H7" s="4" t="n"/>
      <c r="I7" s="4" t="n"/>
      <c r="J7" s="4" t="n"/>
      <c r="K7" s="4" t="n"/>
      <c r="L7" s="4" t="inlineStr">
        <is>
          <t>Tổn thất</t>
        </is>
      </c>
      <c r="M7" s="4" t="n"/>
      <c r="N7" s="4" t="n"/>
      <c r="O7" s="4" t="n"/>
    </row>
    <row r="8">
      <c r="A8" s="4" t="n"/>
      <c r="B8" s="4" t="n"/>
      <c r="C8" s="4" t="inlineStr">
        <is>
          <t>Nhận khu vực</t>
        </is>
      </c>
      <c r="D8" s="4" t="inlineStr">
        <is>
          <t>Nhận</t>
        </is>
      </c>
      <c r="E8" s="4" t="inlineStr">
        <is>
          <t>Giao</t>
        </is>
      </c>
      <c r="F8" s="4" t="inlineStr">
        <is>
          <t>Giao có tính hệ số k</t>
        </is>
      </c>
      <c r="G8" s="4" t="inlineStr">
        <is>
          <t>Tổng</t>
        </is>
      </c>
      <c r="H8" s="4" t="inlineStr">
        <is>
          <t>Thương phẩm lẻ</t>
        </is>
      </c>
      <c r="I8" s="4" t="inlineStr">
        <is>
          <t>Trạm công cộng</t>
        </is>
      </c>
      <c r="J8" s="4" t="inlineStr">
        <is>
          <t>Trạm CD hạ thế</t>
        </is>
      </c>
      <c r="K8" s="4" t="inlineStr">
        <is>
          <t>Trạm CD trung thế</t>
        </is>
      </c>
      <c r="L8" s="4" t="inlineStr">
        <is>
          <t>kWh</t>
        </is>
      </c>
      <c r="M8" s="4" t="inlineStr">
        <is>
          <t>%</t>
        </is>
      </c>
      <c r="N8" s="4" t="inlineStr">
        <is>
          <t>Kế hoạch</t>
        </is>
      </c>
      <c r="O8" s="4" t="inlineStr">
        <is>
          <t>So sánh</t>
        </is>
      </c>
    </row>
    <row r="9">
      <c r="A9" s="5" t="inlineStr">
        <is>
          <t>1</t>
        </is>
      </c>
      <c r="B9" s="5" t="inlineStr">
        <is>
          <t>2</t>
        </is>
      </c>
      <c r="C9" s="5" t="inlineStr">
        <is>
          <t>3</t>
        </is>
      </c>
      <c r="D9" s="5" t="inlineStr">
        <is>
          <t>4</t>
        </is>
      </c>
      <c r="E9" s="5" t="inlineStr">
        <is>
          <t>5</t>
        </is>
      </c>
      <c r="F9" s="5" t="inlineStr">
        <is>
          <t>6</t>
        </is>
      </c>
      <c r="G9" s="5" t="inlineStr">
        <is>
          <t>7=8+9+10+11</t>
        </is>
      </c>
      <c r="H9" s="5" t="inlineStr">
        <is>
          <t>8</t>
        </is>
      </c>
      <c r="I9" s="5" t="inlineStr">
        <is>
          <t>9</t>
        </is>
      </c>
      <c r="J9" s="5" t="inlineStr">
        <is>
          <t>10</t>
        </is>
      </c>
      <c r="K9" s="5" t="inlineStr">
        <is>
          <t>11</t>
        </is>
      </c>
      <c r="L9" s="5" t="inlineStr">
        <is>
          <t>12=4-5-7</t>
        </is>
      </c>
      <c r="M9" s="5" t="inlineStr">
        <is>
          <t>13=12*100/4</t>
        </is>
      </c>
      <c r="N9" s="5" t="inlineStr">
        <is>
          <t>14</t>
        </is>
      </c>
      <c r="O9" s="5" t="inlineStr">
        <is>
          <t>15=13-14</t>
        </is>
      </c>
    </row>
    <row r="10">
      <c r="A10" s="6" t="inlineStr">
        <is>
          <t>22kV</t>
        </is>
      </c>
      <c r="B10" s="6" t="n"/>
      <c r="C10" s="7">
        <f>SUM(C11:C17)</f>
        <v/>
      </c>
      <c r="D10" s="7">
        <f>SUM(D11:D17)</f>
        <v/>
      </c>
      <c r="E10" s="7">
        <f>SUM(E11:E17)</f>
        <v/>
      </c>
      <c r="F10" s="7">
        <f>SUM(F11:F17)</f>
        <v/>
      </c>
      <c r="G10" s="7">
        <f>SUM(G11:G17)</f>
        <v/>
      </c>
      <c r="H10" s="7">
        <f>SUM(H11:H17)</f>
        <v/>
      </c>
      <c r="I10" s="7">
        <f>SUM(I11:I17)</f>
        <v/>
      </c>
      <c r="J10" s="7">
        <f>SUM(J11:J17)</f>
        <v/>
      </c>
      <c r="K10" s="7">
        <f>SUM(K11:K17)</f>
        <v/>
      </c>
      <c r="L10" s="7">
        <f>D10-E10-G10</f>
        <v/>
      </c>
      <c r="M10" s="8">
        <f>IF(D10=0, 0, ROUND(L10*100/D10, 2))</f>
        <v/>
      </c>
      <c r="N10" s="8" t="n"/>
      <c r="O10" s="8" t="n"/>
    </row>
    <row r="11">
      <c r="A11" s="9" t="n">
        <v>1</v>
      </c>
      <c r="B11" s="10" t="inlineStr">
        <is>
          <t>471/F33-đi Iaphi &amp; Iakhươl</t>
        </is>
      </c>
      <c r="C11" s="11" t="n">
        <v>1852061</v>
      </c>
      <c r="D11" s="11" t="n">
        <v>1852061</v>
      </c>
      <c r="E11" s="11" t="n">
        <v>498069</v>
      </c>
      <c r="F11" s="11" t="n">
        <v>498069</v>
      </c>
      <c r="G11" s="11">
        <f>H11+I11+J11+K11</f>
        <v/>
      </c>
      <c r="H11" s="11" t="n">
        <v>0</v>
      </c>
      <c r="I11" s="11" t="n">
        <v>971240</v>
      </c>
      <c r="J11" s="11" t="n">
        <v>470470</v>
      </c>
      <c r="K11" s="11" t="n">
        <v>3168</v>
      </c>
      <c r="L11" s="11">
        <f>D11-E11-G11</f>
        <v/>
      </c>
      <c r="M11" s="12">
        <f>IF(D11=0, 0, ROUND(L11*100/D11, 2))</f>
        <v/>
      </c>
      <c r="N11" s="12" t="n">
        <v>0</v>
      </c>
      <c r="O11" s="12">
        <f>M11-N11</f>
        <v/>
      </c>
    </row>
    <row r="12">
      <c r="A12" s="9" t="n">
        <v>2</v>
      </c>
      <c r="B12" s="10" t="inlineStr">
        <is>
          <t>471/F38Đi -Hà Tây Chư Păh (470/30/2)</t>
        </is>
      </c>
      <c r="C12" s="11" t="n">
        <v>178740</v>
      </c>
      <c r="D12" s="11" t="n">
        <v>178740</v>
      </c>
      <c r="E12" s="11" t="n">
        <v>0</v>
      </c>
      <c r="F12" s="11" t="n">
        <v>0</v>
      </c>
      <c r="G12" s="11">
        <f>H12+I12+J12+K12</f>
        <v/>
      </c>
      <c r="H12" s="11" t="n">
        <v>0</v>
      </c>
      <c r="I12" s="11" t="n">
        <v>50015</v>
      </c>
      <c r="J12" s="11" t="n">
        <v>1689</v>
      </c>
      <c r="K12" s="11" t="n">
        <v>804</v>
      </c>
      <c r="L12" s="11">
        <f>D12-E12-G12</f>
        <v/>
      </c>
      <c r="M12" s="12">
        <f>IF(D12=0, 0, ROUND(L12*100/D12, 2))</f>
        <v/>
      </c>
      <c r="N12" s="12" t="n">
        <v>0</v>
      </c>
      <c r="O12" s="12">
        <f>M12-N12</f>
        <v/>
      </c>
    </row>
    <row r="13">
      <c r="A13" s="9" t="n">
        <v>3</v>
      </c>
      <c r="B13" s="10" t="inlineStr">
        <is>
          <t>471/F4-Di IaLy+IaKa</t>
        </is>
      </c>
      <c r="C13" s="11" t="n">
        <v>944060</v>
      </c>
      <c r="D13" s="11" t="n">
        <v>944060</v>
      </c>
      <c r="E13" s="11" t="n">
        <v>36432</v>
      </c>
      <c r="F13" s="11" t="n">
        <v>36432</v>
      </c>
      <c r="G13" s="11">
        <f>H13+I13+J13+K13</f>
        <v/>
      </c>
      <c r="H13" s="11" t="n">
        <v>0</v>
      </c>
      <c r="I13" s="11" t="n">
        <v>645055</v>
      </c>
      <c r="J13" s="11" t="n">
        <v>5501</v>
      </c>
      <c r="K13" s="11" t="n">
        <v>16918</v>
      </c>
      <c r="L13" s="11">
        <f>D13-E13-G13</f>
        <v/>
      </c>
      <c r="M13" s="12">
        <f>IF(D13=0, 0, ROUND(L13*100/D13, 2))</f>
        <v/>
      </c>
      <c r="N13" s="12" t="n">
        <v>0</v>
      </c>
      <c r="O13" s="12">
        <f>M13-N13</f>
        <v/>
      </c>
    </row>
    <row r="14">
      <c r="A14" s="9" t="n">
        <v>4</v>
      </c>
      <c r="B14" s="10" t="inlineStr">
        <is>
          <t>474/E41-Đi Chư Đăng Ya</t>
        </is>
      </c>
      <c r="C14" s="11" t="n">
        <v>225060</v>
      </c>
      <c r="D14" s="11" t="n">
        <v>225060</v>
      </c>
      <c r="E14" s="11" t="n">
        <v>77640</v>
      </c>
      <c r="F14" s="11" t="n">
        <v>77640</v>
      </c>
      <c r="G14" s="11">
        <f>H14+I14+J14+K14</f>
        <v/>
      </c>
      <c r="H14" s="11" t="n">
        <v>0</v>
      </c>
      <c r="I14" s="11" t="n">
        <v>136080</v>
      </c>
      <c r="J14" s="11" t="n">
        <v>952</v>
      </c>
      <c r="K14" s="11" t="n">
        <v>984</v>
      </c>
      <c r="L14" s="11">
        <f>D14-E14-G14</f>
        <v/>
      </c>
      <c r="M14" s="12">
        <f>IF(D14=0, 0, ROUND(L14*100/D14, 2))</f>
        <v/>
      </c>
      <c r="N14" s="12" t="n">
        <v>0</v>
      </c>
      <c r="O14" s="12">
        <f>M14-N14</f>
        <v/>
      </c>
    </row>
    <row r="15">
      <c r="A15" s="9" t="n">
        <v>5</v>
      </c>
      <c r="B15" s="10" t="inlineStr">
        <is>
          <t>475/E41-Đi khu vực Iasao</t>
        </is>
      </c>
      <c r="C15" s="11" t="n">
        <v>216000</v>
      </c>
      <c r="D15" s="11" t="n">
        <v>216000</v>
      </c>
      <c r="E15" s="11" t="n">
        <v>0</v>
      </c>
      <c r="F15" s="11" t="n">
        <v>0</v>
      </c>
      <c r="G15" s="11">
        <f>H15+I15+J15+K15</f>
        <v/>
      </c>
      <c r="H15" s="11" t="n">
        <v>0</v>
      </c>
      <c r="I15" s="11" t="n">
        <v>78184</v>
      </c>
      <c r="J15" s="11" t="n">
        <v>134019</v>
      </c>
      <c r="K15" s="11" t="n">
        <v>0</v>
      </c>
      <c r="L15" s="11">
        <f>D15-E15-G15</f>
        <v/>
      </c>
      <c r="M15" s="12">
        <f>IF(D15=0, 0, ROUND(L15*100/D15, 2))</f>
        <v/>
      </c>
      <c r="N15" s="12" t="n">
        <v>0</v>
      </c>
      <c r="O15" s="12">
        <f>M15-N15</f>
        <v/>
      </c>
    </row>
    <row r="16">
      <c r="A16" s="9" t="n">
        <v>6</v>
      </c>
      <c r="B16" s="10" t="inlineStr">
        <is>
          <t>476/E41-Đi Chư Păh</t>
        </is>
      </c>
      <c r="C16" s="11" t="n">
        <v>1435630</v>
      </c>
      <c r="D16" s="11" t="n">
        <v>1435630</v>
      </c>
      <c r="E16" s="11" t="n">
        <v>87664</v>
      </c>
      <c r="F16" s="11" t="n">
        <v>87664</v>
      </c>
      <c r="G16" s="11">
        <f>H16+I16+J16+K16</f>
        <v/>
      </c>
      <c r="H16" s="11" t="n">
        <v>0</v>
      </c>
      <c r="I16" s="11" t="n">
        <v>1407580</v>
      </c>
      <c r="J16" s="11" t="n">
        <v>79051</v>
      </c>
      <c r="K16" s="11" t="n">
        <v>4649</v>
      </c>
      <c r="L16" s="11">
        <f>D16-E16-G16</f>
        <v/>
      </c>
      <c r="M16" s="12">
        <f>IF(D16=0, 0, ROUND(L16*100/D16, 2))</f>
        <v/>
      </c>
      <c r="N16" s="12" t="n">
        <v>0</v>
      </c>
      <c r="O16" s="12">
        <f>M16-N16</f>
        <v/>
      </c>
    </row>
    <row r="17">
      <c r="A17" s="9" t="n">
        <v>7</v>
      </c>
      <c r="B17" s="10" t="inlineStr">
        <is>
          <t>476/E45-Đi L.Kênh+Jút Iaphí</t>
        </is>
      </c>
      <c r="C17" s="11" t="n">
        <v>57405</v>
      </c>
      <c r="D17" s="11" t="n">
        <v>57405</v>
      </c>
      <c r="E17" s="11" t="n">
        <v>0</v>
      </c>
      <c r="F17" s="11" t="n">
        <v>0</v>
      </c>
      <c r="G17" s="11">
        <f>H17+I17+J17+K17</f>
        <v/>
      </c>
      <c r="H17" s="11" t="n">
        <v>0</v>
      </c>
      <c r="I17" s="11" t="n">
        <v>57405</v>
      </c>
      <c r="J17" s="11" t="n">
        <v>0</v>
      </c>
      <c r="K17" s="11" t="n">
        <v>0</v>
      </c>
      <c r="L17" s="11">
        <f>D17-E17-G17</f>
        <v/>
      </c>
      <c r="M17" s="12">
        <f>IF(D17=0, 0, ROUND(L17*100/D17, 2))</f>
        <v/>
      </c>
      <c r="N17" s="12" t="n">
        <v>0</v>
      </c>
      <c r="O17" s="12">
        <f>M17-N17</f>
        <v/>
      </c>
    </row>
    <row r="18">
      <c r="A18" s="6" t="inlineStr">
        <is>
          <t>35kV</t>
        </is>
      </c>
      <c r="B18" s="6" t="n"/>
      <c r="C18" s="7">
        <f>SUM(C19:C22)</f>
        <v/>
      </c>
      <c r="D18" s="7">
        <f>SUM(D19:D22)</f>
        <v/>
      </c>
      <c r="E18" s="7">
        <f>SUM(E19:E22)</f>
        <v/>
      </c>
      <c r="F18" s="7">
        <f>SUM(F19:F22)</f>
        <v/>
      </c>
      <c r="G18" s="7">
        <f>SUM(G19:G22)</f>
        <v/>
      </c>
      <c r="H18" s="7">
        <f>SUM(H19:H22)</f>
        <v/>
      </c>
      <c r="I18" s="7">
        <f>SUM(I19:I22)</f>
        <v/>
      </c>
      <c r="J18" s="7">
        <f>SUM(J19:J22)</f>
        <v/>
      </c>
      <c r="K18" s="7">
        <f>SUM(K19:K22)</f>
        <v/>
      </c>
      <c r="L18" s="7">
        <f>D18-E18-G18</f>
        <v/>
      </c>
      <c r="M18" s="8">
        <f>IF(D18=0, 0, ROUND(L18*100/D18, 2))</f>
        <v/>
      </c>
      <c r="N18" s="8" t="n"/>
      <c r="O18" s="8" t="n"/>
    </row>
    <row r="19">
      <c r="A19" s="9" t="n">
        <v>8</v>
      </c>
      <c r="B19" s="10" t="inlineStr">
        <is>
          <t>371/E41-Đi Nhà máy xi măng Yaly F14</t>
        </is>
      </c>
      <c r="C19" s="11" t="n">
        <v>247589</v>
      </c>
      <c r="D19" s="11" t="n">
        <v>247589</v>
      </c>
      <c r="E19" s="11" t="n">
        <v>0</v>
      </c>
      <c r="F19" s="11" t="n">
        <v>0</v>
      </c>
      <c r="G19" s="11">
        <f>H19+I19+J19+K19</f>
        <v/>
      </c>
      <c r="H19" s="11" t="n">
        <v>0</v>
      </c>
      <c r="I19" s="11" t="n">
        <v>0</v>
      </c>
      <c r="J19" s="11" t="n">
        <v>0</v>
      </c>
      <c r="K19" s="11" t="n">
        <v>243417</v>
      </c>
      <c r="L19" s="11">
        <f>D19-E19-G19</f>
        <v/>
      </c>
      <c r="M19" s="12">
        <f>IF(D19=0, 0, ROUND(L19*100/D19, 2))</f>
        <v/>
      </c>
      <c r="N19" s="12" t="n">
        <v>0</v>
      </c>
      <c r="O19" s="12">
        <f>M19-N19</f>
        <v/>
      </c>
    </row>
    <row r="20">
      <c r="A20" s="9" t="n">
        <v>9</v>
      </c>
      <c r="B20" s="10" t="inlineStr">
        <is>
          <t>372/E41-Đi Thủy Điện Ry Ninh II</t>
        </is>
      </c>
      <c r="C20" s="11" t="n">
        <v>6250422</v>
      </c>
      <c r="D20" s="11" t="n">
        <v>6250422</v>
      </c>
      <c r="E20" s="11" t="n">
        <v>6065435</v>
      </c>
      <c r="F20" s="11" t="n">
        <v>6065435</v>
      </c>
      <c r="G20" s="11">
        <f>H20+I20+J20+K20</f>
        <v/>
      </c>
      <c r="H20" s="11" t="n">
        <v>0</v>
      </c>
      <c r="I20" s="11" t="n">
        <v>140950</v>
      </c>
      <c r="J20" s="11" t="n">
        <v>37055</v>
      </c>
      <c r="K20" s="11" t="n">
        <v>11200</v>
      </c>
      <c r="L20" s="11">
        <f>D20-E20-G20</f>
        <v/>
      </c>
      <c r="M20" s="12">
        <f>IF(D20=0, 0, ROUND(L20*100/D20, 2))</f>
        <v/>
      </c>
      <c r="N20" s="12" t="n">
        <v>0</v>
      </c>
      <c r="O20" s="12">
        <f>M20-N20</f>
        <v/>
      </c>
    </row>
    <row r="21">
      <c r="A21" s="9" t="n">
        <v>10</v>
      </c>
      <c r="B21" s="10" t="inlineStr">
        <is>
          <t>373/E41-Đi Thủy Điện Ry Ninh 1</t>
        </is>
      </c>
      <c r="C21" s="11" t="n">
        <v>2923396</v>
      </c>
      <c r="D21" s="11" t="n">
        <v>2923396</v>
      </c>
      <c r="E21" s="11" t="n">
        <v>2750208</v>
      </c>
      <c r="F21" s="11" t="n">
        <v>2750208</v>
      </c>
      <c r="G21" s="11">
        <f>H21+I21+J21+K21</f>
        <v/>
      </c>
      <c r="H21" s="11" t="n">
        <v>0</v>
      </c>
      <c r="I21" s="11" t="n">
        <v>59630</v>
      </c>
      <c r="J21" s="11" t="n">
        <v>23181</v>
      </c>
      <c r="K21" s="11" t="n">
        <v>0</v>
      </c>
      <c r="L21" s="11">
        <f>D21-E21-G21</f>
        <v/>
      </c>
      <c r="M21" s="12">
        <f>IF(D21=0, 0, ROUND(L21*100/D21, 2))</f>
        <v/>
      </c>
      <c r="N21" s="12" t="n">
        <v>0</v>
      </c>
      <c r="O21" s="12">
        <f>M21-N21</f>
        <v/>
      </c>
    </row>
    <row r="22">
      <c r="A22" s="9" t="n">
        <v>11</v>
      </c>
      <c r="B22" s="10" t="inlineStr">
        <is>
          <t>376/TG.PMU-Cấp điện Ialy mở rộng</t>
        </is>
      </c>
      <c r="C22" s="11" t="n">
        <v>0</v>
      </c>
      <c r="D22" s="11" t="n">
        <v>0</v>
      </c>
      <c r="E22" s="11" t="n">
        <v>0</v>
      </c>
      <c r="F22" s="11" t="n">
        <v>0</v>
      </c>
      <c r="G22" s="11">
        <f>H22+I22+J22+K22</f>
        <v/>
      </c>
      <c r="H22" s="11" t="n">
        <v>0</v>
      </c>
      <c r="I22" s="11" t="n">
        <v>0</v>
      </c>
      <c r="J22" s="11" t="n">
        <v>0</v>
      </c>
      <c r="K22" s="11" t="n">
        <v>0</v>
      </c>
      <c r="L22" s="11">
        <f>D22-E22-G22</f>
        <v/>
      </c>
      <c r="M22" s="12">
        <f>IF(D22=0, 0, ROUND(L22*100/D22, 2))</f>
        <v/>
      </c>
      <c r="N22" s="12" t="n">
        <v>0</v>
      </c>
      <c r="O22" s="12">
        <f>M22-N22</f>
        <v/>
      </c>
    </row>
    <row r="23">
      <c r="A23" s="13" t="inlineStr">
        <is>
          <t>TỔNG CỘNG</t>
        </is>
      </c>
      <c r="B23" s="13" t="n"/>
      <c r="C23" s="14">
        <f>C10+C19</f>
        <v/>
      </c>
      <c r="D23" s="14">
        <f>D10+D19</f>
        <v/>
      </c>
      <c r="E23" s="14">
        <f>E10+E19</f>
        <v/>
      </c>
      <c r="F23" s="14">
        <f>F10+F19</f>
        <v/>
      </c>
      <c r="G23" s="14">
        <f>G10+G19</f>
        <v/>
      </c>
      <c r="H23" s="14">
        <f>H10+H19</f>
        <v/>
      </c>
      <c r="I23" s="14">
        <f>I10+I19</f>
        <v/>
      </c>
      <c r="J23" s="14">
        <f>J10+J19</f>
        <v/>
      </c>
      <c r="K23" s="14">
        <f>K10+K19</f>
        <v/>
      </c>
      <c r="L23" s="14">
        <f>D23-E23-G23</f>
        <v/>
      </c>
      <c r="M23" s="15">
        <f>IF(D23=0, 0, ROUND(L23*100/D23, 2))</f>
        <v/>
      </c>
      <c r="N23" s="15" t="n"/>
      <c r="O23" s="15" t="n"/>
    </row>
  </sheetData>
  <mergeCells count="8">
    <mergeCell ref="G7:K7"/>
    <mergeCell ref="A5:O5"/>
    <mergeCell ref="C7:F7"/>
    <mergeCell ref="B7:B8"/>
    <mergeCell ref="A7:A8"/>
    <mergeCell ref="A23:B23"/>
    <mergeCell ref="L7:O7"/>
    <mergeCell ref="A4:O4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2026-09-21T00:22:25Z</dcterms:created>
  <dcterms:modified xmlns:dcterms="http://purl.org/dc/terms/" xmlns:xsi="http://www.w3.org/2001/XMLSchema-instance" xsi:type="dcterms:W3CDTF">2026-09-21T00:22:25Z</dcterms:modified>
</cp:coreProperties>
</file>